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50057327\Desktop\KEY_EVENTS_ASSURANCE\3G_KEY\"/>
    </mc:Choice>
  </mc:AlternateContent>
  <xr:revisionPtr revIDLastSave="0" documentId="13_ncr:1_{C6E681C9-E6C7-4455-B471-E228F32A1F2C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heet1" sheetId="3" r:id="rId1"/>
    <sheet name="Sheet0" sheetId="1" r:id="rId2"/>
    <sheet name="KPI(Counter)" sheetId="2" r:id="rId3"/>
  </sheets>
  <calcPr calcId="191029"/>
  <pivotCaches>
    <pivotCache cacheId="3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2" i="1"/>
</calcChain>
</file>

<file path=xl/sharedStrings.xml><?xml version="1.0" encoding="utf-8"?>
<sst xmlns="http://schemas.openxmlformats.org/spreadsheetml/2006/main" count="4534" uniqueCount="865">
  <si>
    <t>Begin Time</t>
  </si>
  <si>
    <t>End Time</t>
  </si>
  <si>
    <t>Granularity</t>
  </si>
  <si>
    <t>SubnetWork ID</t>
  </si>
  <si>
    <t>SubnetWork Name</t>
  </si>
  <si>
    <t>ManagedElement ID</t>
  </si>
  <si>
    <t>RNC Managed NE</t>
  </si>
  <si>
    <t>NodeB ID</t>
  </si>
  <si>
    <t>NodeB Name</t>
  </si>
  <si>
    <t>ORA_3G_Cell Availability, excluding BLU (%)</t>
  </si>
  <si>
    <t>ORA_3G_CS Voice Traffic (Erl)</t>
  </si>
  <si>
    <t>ORA_3G_Traffic Total Data_MAC (GB)</t>
  </si>
  <si>
    <t>ORA_3G_CSSR CS with Cell PCH/URA PCH (%)</t>
  </si>
  <si>
    <t>ORA_3G_CSSR_PS_with_Cell_PCH (%)</t>
  </si>
  <si>
    <t>ORA_3G_Call Setup Success Rate - HSDPA data (%)</t>
  </si>
  <si>
    <t>ORA_3G_Call Setup Success Rate - HSUPA data (%)</t>
  </si>
  <si>
    <t>ORA_3G_Drop Call Rate CS(%)</t>
  </si>
  <si>
    <t>ORA_3G_Call Drop Data All Services(%)</t>
  </si>
  <si>
    <t>Number of failed RAB assignment setup for the CS domain due to Node B causes</t>
  </si>
  <si>
    <t>Number of failed RAB assignment setup for the CS domain due to downlink power resource congestion</t>
  </si>
  <si>
    <t>Number of failed RAB assignment setup for the CS domain due to downlink CE congestion</t>
  </si>
  <si>
    <t>Number of failed RAB assignment setup for the CS domain due to code resource congestion</t>
  </si>
  <si>
    <t>Average Cell TCP Utilization Ratio(%)</t>
  </si>
  <si>
    <t>Cell Average RACH Utilization(%)</t>
  </si>
  <si>
    <t>ORA_3G_Average CPICH ECNO (%)</t>
  </si>
  <si>
    <t>ORA_3G_Average RTWP (dBm)</t>
  </si>
  <si>
    <t>ORA_3G_Soft HO Success rate(%)</t>
  </si>
  <si>
    <t>ORA_3G_to_2G_Handover-Success_Rate-Speech_New</t>
  </si>
  <si>
    <t>ORA_3G_IFHO SR (%)</t>
  </si>
  <si>
    <t>UL Bler for DCH(%)</t>
  </si>
  <si>
    <t>frame_loss_rate</t>
  </si>
  <si>
    <t>REC_3G_NB_RAB_FAILURE_CAUSE_BTS</t>
  </si>
  <si>
    <t>REC_3G_NB_RAB_FAILURE_CAUSE_IUB</t>
  </si>
  <si>
    <t>Number of RRC connection re-establishment attempts</t>
  </si>
  <si>
    <t>Success Ratio of Paging Message Sending for Cell Level(%)</t>
  </si>
  <si>
    <t>3G_Downtime_Combine (en s)</t>
  </si>
  <si>
    <t>OCM_3G Active users</t>
  </si>
  <si>
    <t>Average UL HSUPA RAB throughput(KByte/s)</t>
  </si>
  <si>
    <t>Average DL HSDPA RAB throughput(KByte/s)</t>
  </si>
  <si>
    <t>2026-03-07 07:00:00</t>
  </si>
  <si>
    <t>2026-03-07 08:00:00</t>
  </si>
  <si>
    <t>1 hour</t>
  </si>
  <si>
    <t>373</t>
  </si>
  <si>
    <t>RNC_ZTE_Messamendongo(373)</t>
  </si>
  <si>
    <t>10468</t>
  </si>
  <si>
    <t>CTR_468_Z_Messassi-MTN-IHS</t>
  </si>
  <si>
    <t>10599</t>
  </si>
  <si>
    <t>CTR_599_Z_Emana-Pont-IHS</t>
  </si>
  <si>
    <t>10900</t>
  </si>
  <si>
    <t>CTR_900_Z_Messasi-crf-fouda</t>
  </si>
  <si>
    <t>374</t>
  </si>
  <si>
    <t>RNC_ZTE_Mvogada_new(374)</t>
  </si>
  <si>
    <t>10269</t>
  </si>
  <si>
    <t>CTR_269_Z_Ekounou-PJ</t>
  </si>
  <si>
    <t>10535</t>
  </si>
  <si>
    <t>CTR_535_Z_Montee-Kondengui-MTN-IHS</t>
  </si>
  <si>
    <t>1057</t>
  </si>
  <si>
    <t>CTR_1057_Z_Labogenie</t>
  </si>
  <si>
    <t>10726</t>
  </si>
  <si>
    <t>CTR_726_Z_Ekounou-Lycee-MTN</t>
  </si>
  <si>
    <t>2026-03-07 09:00:00</t>
  </si>
  <si>
    <t>2026-03-07 10:00:00</t>
  </si>
  <si>
    <t>2026-03-07 11:00:00</t>
  </si>
  <si>
    <t>2026-03-07 12:00:00</t>
  </si>
  <si>
    <t>2026-03-07 13:00:00</t>
  </si>
  <si>
    <t>2026-03-07 14:00:00</t>
  </si>
  <si>
    <t>2026-03-07 15:00:00</t>
  </si>
  <si>
    <t>2026-03-07 16:00:00</t>
  </si>
  <si>
    <t>2026-03-07 17:00:00</t>
  </si>
  <si>
    <t>2026-03-07 18:00:00</t>
  </si>
  <si>
    <t>2026-03-07 19:00:00</t>
  </si>
  <si>
    <t>2026-03-07 20:00:00</t>
  </si>
  <si>
    <t>2026-03-07 21:00:00</t>
  </si>
  <si>
    <t>2026-03-07 22:00:00</t>
  </si>
  <si>
    <t>2026-03-07 23:00:00</t>
  </si>
  <si>
    <t>2026-03-08 00:00:00</t>
  </si>
  <si>
    <t>2026-03-08 01:00:00</t>
  </si>
  <si>
    <t>2026-03-08 02:00:00</t>
  </si>
  <si>
    <t>2026-03-08 03:00:00</t>
  </si>
  <si>
    <t>2026-03-08 04:00:00</t>
  </si>
  <si>
    <t>2026-03-08 05:00:00</t>
  </si>
  <si>
    <t>2026-03-08 06:00:00</t>
  </si>
  <si>
    <t>2026-03-08 07:00:00</t>
  </si>
  <si>
    <t>2026-03-08 08:00:00</t>
  </si>
  <si>
    <t>2026-03-08 09:00:00</t>
  </si>
  <si>
    <t>2026-03-08 10:00:00</t>
  </si>
  <si>
    <t>2026-03-08 11:00:00</t>
  </si>
  <si>
    <t>2026-03-08 12:00:00</t>
  </si>
  <si>
    <t>2026-03-08 13:00:00</t>
  </si>
  <si>
    <t>2026-03-08 14:00:00</t>
  </si>
  <si>
    <t>2026-03-08 15:00:00</t>
  </si>
  <si>
    <t>2026-03-08 16:00:00</t>
  </si>
  <si>
    <t>2026-03-08 17:00:00</t>
  </si>
  <si>
    <t>2026-03-08 18:00:00</t>
  </si>
  <si>
    <t>2026-03-08 19:00:00</t>
  </si>
  <si>
    <t>2026-03-08 20:00:00</t>
  </si>
  <si>
    <t>2026-03-08 21:00:00</t>
  </si>
  <si>
    <t>2026-03-08 22:00:00</t>
  </si>
  <si>
    <t>2026-03-08 23:00:00</t>
  </si>
  <si>
    <t>2026-03-09 00:00:00</t>
  </si>
  <si>
    <t>2026-03-09 01:00:00</t>
  </si>
  <si>
    <t>2026-03-09 02:00:00</t>
  </si>
  <si>
    <t>2026-03-09 03:00:00</t>
  </si>
  <si>
    <t>2026-03-09 04:00:00</t>
  </si>
  <si>
    <t>2026-03-09 05:00:00</t>
  </si>
  <si>
    <t>2026-03-09 06:00:00</t>
  </si>
  <si>
    <t>2026-03-09 07:00:00</t>
  </si>
  <si>
    <t>2026-03-09 08:00:00</t>
  </si>
  <si>
    <t>KPI or Counter</t>
  </si>
  <si>
    <t>KPI or Counter Description</t>
  </si>
  <si>
    <t>Indicator Formula</t>
  </si>
  <si>
    <t>KPI or Counter Status</t>
  </si>
  <si>
    <t>1629875102000</t>
  </si>
  <si>
    <t>C310464560/(NO*Gr)</t>
  </si>
  <si>
    <t>Normal</t>
  </si>
  <si>
    <t>C310464560</t>
  </si>
  <si>
    <t>Service time of the cell(s)</t>
  </si>
  <si>
    <t>1629875102022</t>
  </si>
  <si>
    <t>(C310040001+C310040002+C310040003+C310040004+C310040005+C310040006+C310040007+C310040008+C310040009+C310040010+C310040011+C310040012+C310040013+C310040014+C310040015+C310040016+C310040017)/3600</t>
  </si>
  <si>
    <t>C310040008</t>
  </si>
  <si>
    <t>Holding time of CS AMR4.75 services in the best cell(s)</t>
  </si>
  <si>
    <t>C310040007</t>
  </si>
  <si>
    <t>Holding time of CS AMR5.15 services in the best cell(s)</t>
  </si>
  <si>
    <t>C310040006</t>
  </si>
  <si>
    <t>Holding time of CS AMR5.9 services in the best cell(s)</t>
  </si>
  <si>
    <t>C310040017</t>
  </si>
  <si>
    <t>Holding time of CS WB-AMR6.60 services in the best cell(s)</t>
  </si>
  <si>
    <t>C310040005</t>
  </si>
  <si>
    <t>Holding time of CS AMR6.7 services in the best cell(s)</t>
  </si>
  <si>
    <t>C310040016</t>
  </si>
  <si>
    <t>Holding time of CS WB-AMR8.85 services in the best cell(s)</t>
  </si>
  <si>
    <t>C310040009</t>
  </si>
  <si>
    <t>Holding time of CS WB-AMR23.85 services in the best cell(s)</t>
  </si>
  <si>
    <t>C310040011</t>
  </si>
  <si>
    <t>Holding time of CS WB-AMR19.85 services in the best cell(s)</t>
  </si>
  <si>
    <t>C310040010</t>
  </si>
  <si>
    <t>Holding time of CS WB-AMR23.05 services in the best cell(s)</t>
  </si>
  <si>
    <t>C310040004</t>
  </si>
  <si>
    <t>Holding time of CS AMR7.4 services in the best cell(s)</t>
  </si>
  <si>
    <t>C310040015</t>
  </si>
  <si>
    <t>Holding time of CS WB-AMR12.65 services in the best cell(s)</t>
  </si>
  <si>
    <t>C310040003</t>
  </si>
  <si>
    <t>Holding time of CS AMR7.95 services in the best cell(s)</t>
  </si>
  <si>
    <t>C310040014</t>
  </si>
  <si>
    <t>Holding time of CS WB-AMR14.25 services in the best cell(s)</t>
  </si>
  <si>
    <t>C310040002</t>
  </si>
  <si>
    <t>Holding time of CS AMR10.2 services in the best cell(s)</t>
  </si>
  <si>
    <t>C310040013</t>
  </si>
  <si>
    <t>Holding time of CS WB-AMR15.85 services in the best cell(s)</t>
  </si>
  <si>
    <t>C310040001</t>
  </si>
  <si>
    <t>Holding time of CS AMR12.2 services in the best cell(s)</t>
  </si>
  <si>
    <t>C310040012</t>
  </si>
  <si>
    <t>Holding time of CS WB-AMR18.25 services in the best cell(s)</t>
  </si>
  <si>
    <t>1709710925062</t>
  </si>
  <si>
    <t>((C310010194+C310010195+C310010196+C310010197+C310010198+C310010199+C310010200+C310010201+C310010209+C310010210+C310010211+C310010212+C310010213+C310010214+C310010215+C310010216+C310010224+C310010225+C310010226+C310010227+C310010228+C310010229+C310010230+C310010231+C310010858+C310010859+C310010860)+(C310010157+C310010158+C310010159+C310010160)+(C310010188+C310010189+C310010190+C310010191+C310010192+C310010193+C310010202+C310010203+C310010204+C310010205+C310010206+C310010207+C310010208+C310010217+C310010218+C310010219+C310010220+C310010221+C310010222+C310010223+C310010796+C310010797+C310010798+C310010799)+(C310010153+C310010154+C310010155+C310010156))/(1000*1000)</t>
  </si>
  <si>
    <t>C310010210</t>
  </si>
  <si>
    <t>DL traffic of PS Class I 32K services on DCHs in the best cell(kBytes)</t>
  </si>
  <si>
    <t>C310010212</t>
  </si>
  <si>
    <t>DL traffic of PS Class I 128K services on DCHs in the best cell(kBytes)</t>
  </si>
  <si>
    <t>C310010211</t>
  </si>
  <si>
    <t>DL traffic of PS Class I 64K services on DCHs in the best cell(kBytes)</t>
  </si>
  <si>
    <t>C310010214</t>
  </si>
  <si>
    <t>DL traffic of PS Class I 256K services on DCHs in the best cell(kBytes)</t>
  </si>
  <si>
    <t>C310010213</t>
  </si>
  <si>
    <t>DL traffic of PS Class I 144K services on DCHs in the best cell(kBytes)</t>
  </si>
  <si>
    <t>C310010216</t>
  </si>
  <si>
    <t>DL traffic of other PS Class I services on DCHs in the best cell(kBytes)</t>
  </si>
  <si>
    <t>C310010215</t>
  </si>
  <si>
    <t>DL traffic of PS Class I 384K services on DCHs in the best cell(kBytes)</t>
  </si>
  <si>
    <t>C310010218</t>
  </si>
  <si>
    <t>UL traffic of PS Class B 16K services on DCHs in the best cell(kBytes)</t>
  </si>
  <si>
    <t>C310010217</t>
  </si>
  <si>
    <t>UL traffic of PS Class B 8K services on DCHs in the best cell(kBytes)</t>
  </si>
  <si>
    <t>C310010858</t>
  </si>
  <si>
    <t>DL traffic of PS Class S 16K services on DCHs in the best cell(kBytes)</t>
  </si>
  <si>
    <t>C310010219</t>
  </si>
  <si>
    <t>UL traffic of PS Class B 32K services on DCHs in the best cell(kBytes)</t>
  </si>
  <si>
    <t>C310010859</t>
  </si>
  <si>
    <t>DL traffic of PS Class I 16K services on DCHs in the best cell(kBytes)</t>
  </si>
  <si>
    <t>C310010188</t>
  </si>
  <si>
    <t>UL traffic of PS Class S 8K services on DCHs in the best cell(kBytes)</t>
  </si>
  <si>
    <t>C310010221</t>
  </si>
  <si>
    <t>UL traffic of PS Class B 128K services on DCHs in the best cell(kBytes)</t>
  </si>
  <si>
    <t>C310010220</t>
  </si>
  <si>
    <t>UL traffic of PS Class B 64K services on DCHs in the best cell(kBytes)</t>
  </si>
  <si>
    <t>C310010223</t>
  </si>
  <si>
    <t>UL traffic of other PS Class B services on DCHs in the best cell(kBytes)</t>
  </si>
  <si>
    <t>C310010860</t>
  </si>
  <si>
    <t>DL traffic of PS Class B 16K services on DCHs in the best cell(kBytes)</t>
  </si>
  <si>
    <t>C310010189</t>
  </si>
  <si>
    <t>UL traffic of PS Class S 16K services on DCHs in the best cell(kBytes)</t>
  </si>
  <si>
    <t>C310010222</t>
  </si>
  <si>
    <t>UL traffic of PS Class B 384K services on DCHs in the best cell(kBytes)</t>
  </si>
  <si>
    <t>C310010225</t>
  </si>
  <si>
    <t>DL traffic of PS Class B 32K services on DCHs in the best cell(kBytes)</t>
  </si>
  <si>
    <t>C310010224</t>
  </si>
  <si>
    <t>DL traffic of PS Class B 8K services on DCHs in the best cell(kBytes)</t>
  </si>
  <si>
    <t>C310010227</t>
  </si>
  <si>
    <t>DL traffic of PS Class B 128K services on DCHs in the best cell(kBytes)</t>
  </si>
  <si>
    <t>C310010226</t>
  </si>
  <si>
    <t>DL traffic of PS Class B 64K services on DCHs in the best cell(kBytes)</t>
  </si>
  <si>
    <t>C310010229</t>
  </si>
  <si>
    <t>DL traffic of PS Class B 256K services on DCHs in the best cell(kBytes)</t>
  </si>
  <si>
    <t>C310010228</t>
  </si>
  <si>
    <t>DL traffic of PS Class B 144K services on DCHs in the best cell(kBytes)</t>
  </si>
  <si>
    <t>C310010199</t>
  </si>
  <si>
    <t>DL traffic of PS Class S 256K services on DCHs in the best cell(kBytes)</t>
  </si>
  <si>
    <t>C310010155</t>
  </si>
  <si>
    <t>UL RAB traffic of Class I services on HSUPA channels in the best cell(kBytes)</t>
  </si>
  <si>
    <t>C310010198</t>
  </si>
  <si>
    <t>DL traffic of PS Class S 144K services on DCHs in the best cell(kBytes)</t>
  </si>
  <si>
    <t>C310010231</t>
  </si>
  <si>
    <t>DL traffic of other PS Class B services on DCHs in the best cell(kBytes)</t>
  </si>
  <si>
    <t>C310010154</t>
  </si>
  <si>
    <t>UL RAB traffic of Class S services on HSUPA channels in the best cell(kBytes)</t>
  </si>
  <si>
    <t>C310010157</t>
  </si>
  <si>
    <t>DL RAB traffic of Class C services on HSDPA channels in the best cell(kBytes)</t>
  </si>
  <si>
    <t>C310010156</t>
  </si>
  <si>
    <t>UL RAB traffic of Class B services on HSUPA channels in the best cell(kBytes)</t>
  </si>
  <si>
    <t>C310010159</t>
  </si>
  <si>
    <t>DL RAB traffic of Class I services on HSDPA channels in the best cell(kBytes)</t>
  </si>
  <si>
    <t>C310010797</t>
  </si>
  <si>
    <t>UL traffic of PS Class S 256K services on DCHs in the best cell(kBytes)</t>
  </si>
  <si>
    <t>C310010158</t>
  </si>
  <si>
    <t>DL RAB traffic of Class S services on HSDPA channels in the best cell(kBytes)</t>
  </si>
  <si>
    <t>C310010796</t>
  </si>
  <si>
    <t>UL traffic of PS Class S 128K services on DCHs in the best cell(kBytes)</t>
  </si>
  <si>
    <t>C310010799</t>
  </si>
  <si>
    <t>UL traffic of PS Class B 256K services on DCHs in the best cell(kBytes)</t>
  </si>
  <si>
    <t>C310010798</t>
  </si>
  <si>
    <t>UL traffic of PS Class I 256K services on DCHs in the best cell(kBytes)</t>
  </si>
  <si>
    <t>C310010191</t>
  </si>
  <si>
    <t>UL traffic of PS Class S 64K services on DCHs in the best cell(kBytes)</t>
  </si>
  <si>
    <t>C310010190</t>
  </si>
  <si>
    <t>UL traffic of PS Class S 32K services on DCHs in the best cell(kBytes)</t>
  </si>
  <si>
    <t>C310010193</t>
  </si>
  <si>
    <t>UL traffic of other PS Class S services on DCHs in the best cell(kBytes)</t>
  </si>
  <si>
    <t>C310010192</t>
  </si>
  <si>
    <t>UL traffic of PS Class S 384K services on DCHs in the best cell(kBytes)</t>
  </si>
  <si>
    <t>C310010195</t>
  </si>
  <si>
    <t>DL traffic of PS Class S 32K services on DCHs in the best cell(kBytes)</t>
  </si>
  <si>
    <t>C310010194</t>
  </si>
  <si>
    <t>DL traffic of PS Class S 8K services on DCHs in the best cell(kBytes)</t>
  </si>
  <si>
    <t>C310010197</t>
  </si>
  <si>
    <t>DL traffic of PS Class S 128K services on DCHs in the best cell(kBytes)</t>
  </si>
  <si>
    <t>C310010230</t>
  </si>
  <si>
    <t>DL traffic of PS Class B 384K services on DCHs in the best cell(kBytes)</t>
  </si>
  <si>
    <t>C310010153</t>
  </si>
  <si>
    <t>UL RAB traffic of Class C services on HSUPA channels in the best cell(kBytes)</t>
  </si>
  <si>
    <t>C310010196</t>
  </si>
  <si>
    <t>DL traffic of PS Class S 64K services on DCHs in the best cell(kBytes)</t>
  </si>
  <si>
    <t>C310010201</t>
  </si>
  <si>
    <t>DL traffic of other PS Class S services on DCHs in the best cell(kBytes)</t>
  </si>
  <si>
    <t>C310010200</t>
  </si>
  <si>
    <t>DL traffic of PS Class S 384K services on DCHs in the best cell(kBytes)</t>
  </si>
  <si>
    <t>C310010203</t>
  </si>
  <si>
    <t>UL traffic of PS Class I 16K services on DCHs in the best cell(kBytes)</t>
  </si>
  <si>
    <t>C310010202</t>
  </si>
  <si>
    <t>UL traffic of PS Class I 8K services on DCHs in the best cell(kBytes)</t>
  </si>
  <si>
    <t>C310010205</t>
  </si>
  <si>
    <t>UL traffic of PS Class I 64K services on DCHs in the best cell(kBytes)</t>
  </si>
  <si>
    <t>C310010204</t>
  </si>
  <si>
    <t>UL traffic of PS Class I 32K services on DCHs in the best cell(kBytes)</t>
  </si>
  <si>
    <t>C310010207</t>
  </si>
  <si>
    <t>UL traffic of PS Class I 384K services on DCHs in the best cell(kBytes)</t>
  </si>
  <si>
    <t>C310010206</t>
  </si>
  <si>
    <t>UL traffic of PS Class I 128K services on DCHs in the best cell(kBytes)</t>
  </si>
  <si>
    <t>C310010209</t>
  </si>
  <si>
    <t>DL traffic of PS Class I 8K services on DCHs in the best cell(kBytes)</t>
  </si>
  <si>
    <t>C310010208</t>
  </si>
  <si>
    <t>UL traffic of other PS Class I services on DCHs in the best cell(kBytes)</t>
  </si>
  <si>
    <t>C310010160</t>
  </si>
  <si>
    <t>DL RAB traffic of Class B services on HSDPA channels in the best cell(kBytes)</t>
  </si>
  <si>
    <t>1629875102002</t>
  </si>
  <si>
    <t>(C310080170+C310080177+C310080185+C310577553)/((C310080001+C310080008+C310080016)-(C310080023+C310080030+C310080038)+C310577550-C310577699)*(C314056989/C314056988)</t>
  </si>
  <si>
    <t>C310577699</t>
  </si>
  <si>
    <t>Number of repeated CS service Cell Update in PCH</t>
  </si>
  <si>
    <t>C310080170</t>
  </si>
  <si>
    <t>Number of successful RRC connection access for originating conversational calls</t>
  </si>
  <si>
    <t>C310080185</t>
  </si>
  <si>
    <t>Number of successful RRC connection access for emergency calls</t>
  </si>
  <si>
    <t>C310080030</t>
  </si>
  <si>
    <t>Number of repeated RRC connection attempts due to terminating conversational calls</t>
  </si>
  <si>
    <t>C310080177</t>
  </si>
  <si>
    <t>Number of successful RRC connection access for terminating conversational calls</t>
  </si>
  <si>
    <t>C310080001</t>
  </si>
  <si>
    <t>Number of RRC connection attempts due to originating conversational calls</t>
  </si>
  <si>
    <t>C310080023</t>
  </si>
  <si>
    <t>Number of repeated RRC connection attempts due to originating conversational calls</t>
  </si>
  <si>
    <t>C310080008</t>
  </si>
  <si>
    <t>Number of RRC connection attempts due to terminating conversational calls</t>
  </si>
  <si>
    <t>C310080016</t>
  </si>
  <si>
    <t>Number of RRC connection attempts due to emergency calls</t>
  </si>
  <si>
    <t>C310080038</t>
  </si>
  <si>
    <t>Number of repeated RRC connection attempts due to emergency calls</t>
  </si>
  <si>
    <t>C314056989</t>
  </si>
  <si>
    <t>Number of successful CS RAB assignment setup (excluding relocation)</t>
  </si>
  <si>
    <t>C310577550</t>
  </si>
  <si>
    <t>Number of CS service Cell Update in PCH</t>
  </si>
  <si>
    <t>C310577553</t>
  </si>
  <si>
    <t>Number of successful CS service Cell Update in PCH</t>
  </si>
  <si>
    <t>C314056988</t>
  </si>
  <si>
    <t>Number of CS RAB assignment setup attempts (excluding relocation)</t>
  </si>
  <si>
    <t>1629875102003</t>
  </si>
  <si>
    <t>(P1709710926833/(P1709710926833+P1709710926831)*(P1709710926832/P1709710926833)*((C310100736+C310100739+C310100752+C310100768-C314137099)/(C310090277+C310090280+C310090293+C310090309-C314137098))+P1709710926925*P1709710926923)</t>
  </si>
  <si>
    <t>1709710926832</t>
  </si>
  <si>
    <t>ORA_3G_RRC_PS _SUCC</t>
  </si>
  <si>
    <t>(C310080171+C310080172+C310080173+C310080174+C310080175+C310080178+C310080179+C310080180+C310080181)</t>
  </si>
  <si>
    <t>C310080172</t>
  </si>
  <si>
    <t>Number of successful RRC connection access for originating interactive calls</t>
  </si>
  <si>
    <t>C310080171</t>
  </si>
  <si>
    <t>Number of successful RRC connection access for originating streaming calls</t>
  </si>
  <si>
    <t>C310080181</t>
  </si>
  <si>
    <t>Number of successful RRC connection access due to terminating high-priority signaling</t>
  </si>
  <si>
    <t>C310080180</t>
  </si>
  <si>
    <t>Number of successful RRC connection access for terminating background calls</t>
  </si>
  <si>
    <t>C310080175</t>
  </si>
  <si>
    <t>Number of successful RRC connection access due to originating high-priority signaling</t>
  </si>
  <si>
    <t>C310080174</t>
  </si>
  <si>
    <t>Number of successful RRC connection access for originating customized calls</t>
  </si>
  <si>
    <t>C310080173</t>
  </si>
  <si>
    <t>Number of successful RRC connection access for originating background calls</t>
  </si>
  <si>
    <t>C310080179</t>
  </si>
  <si>
    <t>Number of successful RRC connection access for terminating interactive calls</t>
  </si>
  <si>
    <t>C310080178</t>
  </si>
  <si>
    <t>Number of successful RRC connection access for terminating streaming calls</t>
  </si>
  <si>
    <t>1709710926831</t>
  </si>
  <si>
    <t>ORA_3G_Upswitch_PS_ATT</t>
  </si>
  <si>
    <t>(C310577551-C310577700)</t>
  </si>
  <si>
    <t>C310577700</t>
  </si>
  <si>
    <t>Number of repeated PS service Cell Update in PCH</t>
  </si>
  <si>
    <t>C310577551</t>
  </si>
  <si>
    <t>Number of PS service Cell Update in PCH</t>
  </si>
  <si>
    <t>1709710926833</t>
  </si>
  <si>
    <t>ORA_3G_RRC_PS_ATT</t>
  </si>
  <si>
    <t>(C310080002+C310080003+C310080004+C310080005+C310080006+C310080009+C310080010+C310080011+C310080012)-(C310080024+C310080025+C310080026+C310080027+C310080028+C310080031+C310080032+C310080033+C310080034)</t>
  </si>
  <si>
    <t>C310080011</t>
  </si>
  <si>
    <t>Number of RRC connection attempts due to terminating background calls</t>
  </si>
  <si>
    <t>C310080033</t>
  </si>
  <si>
    <t>Number of repeated RRC connection attempts due to terminating background calls</t>
  </si>
  <si>
    <t>C310080010</t>
  </si>
  <si>
    <t>Number of RRC connection attempts due to terminating interactive calls</t>
  </si>
  <si>
    <t>C310080032</t>
  </si>
  <si>
    <t>Number of repeated RRC connection attempts due to terminating interactive calls</t>
  </si>
  <si>
    <t>C310080031</t>
  </si>
  <si>
    <t>Number of repeated RRC connection attempts due to terminating streaming calls</t>
  </si>
  <si>
    <t>C310080004</t>
  </si>
  <si>
    <t>Number of RRC connection attempts due to originating background calls</t>
  </si>
  <si>
    <t>C310080026</t>
  </si>
  <si>
    <t>Number of repeated RRC connection attempts due to originating background calls</t>
  </si>
  <si>
    <t>C310080003</t>
  </si>
  <si>
    <t>Number of RRC connection attempts due to originating interactive calls</t>
  </si>
  <si>
    <t>C310080025</t>
  </si>
  <si>
    <t>Number of repeated RRC connection attempts due to originating interactive calls</t>
  </si>
  <si>
    <t>C310080002</t>
  </si>
  <si>
    <t>Number of RRC connection attempts due to originating streaming calls</t>
  </si>
  <si>
    <t>C310080024</t>
  </si>
  <si>
    <t>Number of repeated RRC connection attempts due to originating streaming calls</t>
  </si>
  <si>
    <t>C310080012</t>
  </si>
  <si>
    <t>Number of RRC connection attempts due to terminating high-priority signaling</t>
  </si>
  <si>
    <t>C310080034</t>
  </si>
  <si>
    <t>Number of repeated RRC connection attempts due to terminating high-priority signaling</t>
  </si>
  <si>
    <t>C310080006</t>
  </si>
  <si>
    <t>Number of RRC connection attempts due to originating high-priority signaling</t>
  </si>
  <si>
    <t>C310080028</t>
  </si>
  <si>
    <t>Number of repeated RRC connection attempts due to originating high-priority signaling</t>
  </si>
  <si>
    <t>C310080005</t>
  </si>
  <si>
    <t>Number of RRC connection attempts due to originating customized calls</t>
  </si>
  <si>
    <t>C310080027</t>
  </si>
  <si>
    <t>Number of repeated RRC connection attempts due to originating customized calls</t>
  </si>
  <si>
    <t>C310080009</t>
  </si>
  <si>
    <t>Number of RRC connection attempts due to terminating streaming calls</t>
  </si>
  <si>
    <t>1709710926923</t>
  </si>
  <si>
    <t>ORA_3G_Upswitch_PS_SR</t>
  </si>
  <si>
    <t>(C310577553/(C310577551-C310577700))</t>
  </si>
  <si>
    <t>1709710926925</t>
  </si>
  <si>
    <t>ORA_3G_Upswitch_PS_ATT_Ratio</t>
  </si>
  <si>
    <t>((C310577551-C310577700)/((C310577551-C310577700)+(C310080002+C310080003+C310080004+C310080005+C310080006+C310080009+C310080010+C310080011+C310080012)-(C310080024+C310080025+C310080026+C310080027+C310080028+C310080031+C310080032+C310080033+C310080034)))</t>
  </si>
  <si>
    <t>C310100768</t>
  </si>
  <si>
    <t>Number of successful RAB establishment in the PS domain for background services</t>
  </si>
  <si>
    <t>C314137099</t>
  </si>
  <si>
    <t>Number of successful RAB establishment for concurrent PS services</t>
  </si>
  <si>
    <t>C310090280</t>
  </si>
  <si>
    <t>Number of RAB establishment attempts in the PS domain for streaming services</t>
  </si>
  <si>
    <t>C314137098</t>
  </si>
  <si>
    <t>Number of RAB establishment attempts for concurrent PS services</t>
  </si>
  <si>
    <t>C310100752</t>
  </si>
  <si>
    <t>Number of successful RAB establishment in the PS domain for interactive services</t>
  </si>
  <si>
    <t>C310090293</t>
  </si>
  <si>
    <t>Number of RAB establishment attempts in the PS domain for interactive services</t>
  </si>
  <si>
    <t>C310090309</t>
  </si>
  <si>
    <t>Number of RAB establishment attempts in the PS domain for background services</t>
  </si>
  <si>
    <t>C310090277</t>
  </si>
  <si>
    <t>Number of RAB establishment attempts in the PS domain for conversational services</t>
  </si>
  <si>
    <t>C310100739</t>
  </si>
  <si>
    <t>Number of successful RAB establishment in the PS domain for streaming services</t>
  </si>
  <si>
    <t>C310100736</t>
  </si>
  <si>
    <t>Number of successful RAB establishment in the PS domain for conversational services</t>
  </si>
  <si>
    <t>1629875102005</t>
  </si>
  <si>
    <t>(C310080172+C310080173+C310080179+C310080180+C310080171+C310080174+C310080175+C310080178+C310080181)/((C310080003+C310080004+C310080010+C310080011+C310080002+C310080005+C310080006+C310080009+C310080012)-(C310080025+C310080026+C310080032+C310080033+C310080024+C310080027+C310080028+C310080031+C310080034))*(C310170830+C310170832+C310170851+C310170870)/((C310170830+C310170832+C310170851+C310170870)+(C310170482+C310170484+C310170503+C310170522))</t>
  </si>
  <si>
    <t>C310170522</t>
  </si>
  <si>
    <t>Number of HSDPA RAB establishment failures in the PS domain for background services</t>
  </si>
  <si>
    <t>C310170503</t>
  </si>
  <si>
    <t>Number of HSDPA RAB establishment failures in the PS domain for interactive services</t>
  </si>
  <si>
    <t>C310170482</t>
  </si>
  <si>
    <t>Number of HSDPA RAB establishment failures in the PS domain for conversational services</t>
  </si>
  <si>
    <t>C310170484</t>
  </si>
  <si>
    <t>Number of HSDPA RAB establishment failures in the PS domain for streaming services</t>
  </si>
  <si>
    <t>C310170830</t>
  </si>
  <si>
    <t>Number of successful HSDPA RAB establishment in the PS domain for conversational services</t>
  </si>
  <si>
    <t>C310170851</t>
  </si>
  <si>
    <t>Number of successful HSDPA RAB establishment in the PS domain for interactive services</t>
  </si>
  <si>
    <t>C310170832</t>
  </si>
  <si>
    <t>Number of successful HSDPA RAB establishment in the PS domain for streaming services</t>
  </si>
  <si>
    <t>C310170870</t>
  </si>
  <si>
    <t>Number of successful HSDPA RAB establishment in the PS domain for background services</t>
  </si>
  <si>
    <t>1629875102006</t>
  </si>
  <si>
    <t>(C310080172+C310080173+C310080179+C310080180)/((C310080003+C310080004+C310080010+C310080011)-(C310080025+C310080026+C310080032+C310080033))*(C310170831+C310170843+C310170862+C310170881)/((C310170831+C310170843+C310170862+C310170881)+(C310170483+C310170495+C310170514+C310170533))</t>
  </si>
  <si>
    <t>C310170533</t>
  </si>
  <si>
    <t>Number of HSUPA RAB establishment failures in the PS domain for background services</t>
  </si>
  <si>
    <t>C310170831</t>
  </si>
  <si>
    <t>Number of successful HSUPA RAB establishment in the PS domain for conversational services</t>
  </si>
  <si>
    <t>C310170862</t>
  </si>
  <si>
    <t>Number of successful HSUPA RAB establishment in the PS domain for interactive services</t>
  </si>
  <si>
    <t>C310170843</t>
  </si>
  <si>
    <t>Number of successful HSUPA RAB establishment in the PS domain for streaming services</t>
  </si>
  <si>
    <t>C310170514</t>
  </si>
  <si>
    <t>Number of HSUPA RAB establishment failures in the PS domain for interactive services</t>
  </si>
  <si>
    <t>C310170881</t>
  </si>
  <si>
    <t>Number of successful HSUPA RAB establishment in the PS domain for background services</t>
  </si>
  <si>
    <t>C310170483</t>
  </si>
  <si>
    <t>Number of HSUPA RAB establishment failures in the PS domain for conversational services</t>
  </si>
  <si>
    <t>C310170495</t>
  </si>
  <si>
    <t>Number of HSUPA RAB establishment failures in the PS domain for streaming services</t>
  </si>
  <si>
    <t>1629875102007</t>
  </si>
  <si>
    <t>(C310231162+C310231163+C310231164+C310231165+C310231166+C310231167+C310231168+C310231169+C310231170+C310231171+C310231172+C310231173+C310231174+C310231175+C310231176+C310231177+C310231178+C310231179+C310231180+C310231181+C310231182+C310231183+C310231184)/(C310231185+C310231186+C310231187+C310231188+C310231189+C310231190+C310231191+C310231192+C310231193+C310231194+C310231195+C310231196+C310231197+C310231198+C310231199+C310231200+C310231201+C310231202+C310231203+C310231204+C310231205+C310231206+C310231207)</t>
  </si>
  <si>
    <t>C310231206</t>
  </si>
  <si>
    <t>Total number of released RABs of CS-domain interactive services</t>
  </si>
  <si>
    <t>C310231205</t>
  </si>
  <si>
    <t>Total number of released RABs of CS-domain streaming services</t>
  </si>
  <si>
    <t>C310231204</t>
  </si>
  <si>
    <t>Total number of released RABs of CS-domain conversational other services</t>
  </si>
  <si>
    <t>C310231203</t>
  </si>
  <si>
    <t>Total number of released RABs of CS-domain conversational services (64K/64K, Videotelephone)</t>
  </si>
  <si>
    <t>C310231169</t>
  </si>
  <si>
    <t>Number of abnormally released RABs of CS-domain conversational services (AMR4.75K)</t>
  </si>
  <si>
    <t>C310231202</t>
  </si>
  <si>
    <t>Total number of released RABs of CS-domain conversational services (32K/32K)</t>
  </si>
  <si>
    <t>C310231168</t>
  </si>
  <si>
    <t>Number of abnormally released RABs of CS-domain conversational services (AMR5.15K)</t>
  </si>
  <si>
    <t>C310231201</t>
  </si>
  <si>
    <t>Total number of released RABs of CS-domain conversational services (WB-AMR6.60K)</t>
  </si>
  <si>
    <t>C310231167</t>
  </si>
  <si>
    <t>Number of abnormally released RABs of CS-domain conversational services (AMR5.9K)</t>
  </si>
  <si>
    <t>C310231189</t>
  </si>
  <si>
    <t>Total number of released RABs of CS-domain conversational services (AMR6.7K)</t>
  </si>
  <si>
    <t>C310231200</t>
  </si>
  <si>
    <t>Total number of released RABs of CS-domain conversational services (WB-AMR8.85K)</t>
  </si>
  <si>
    <t>C310231166</t>
  </si>
  <si>
    <t>Number of abnormally released RABs of CS-domain conversational services (AMR6.7K)</t>
  </si>
  <si>
    <t>C310231188</t>
  </si>
  <si>
    <t>Total number of released RABs of CS-domain conversational services (AMR7.4K)</t>
  </si>
  <si>
    <t>C310231207</t>
  </si>
  <si>
    <t>Total number of released RABs of CS-domain background services</t>
  </si>
  <si>
    <t>C310231165</t>
  </si>
  <si>
    <t>Number of abnormally released RABs of CS-domain conversational services (AMR7.4K)</t>
  </si>
  <si>
    <t>C310231187</t>
  </si>
  <si>
    <t>Total number of released RABs of CS-domain conversational services (AMR7.95K)</t>
  </si>
  <si>
    <t>C310231164</t>
  </si>
  <si>
    <t>Number of abnormally released RABs of CS-domain conversational services (AMR7.95K)</t>
  </si>
  <si>
    <t>C310231186</t>
  </si>
  <si>
    <t>Total number of released RABs of CS-domain conversational services (AMR10.2K)</t>
  </si>
  <si>
    <t>C310231163</t>
  </si>
  <si>
    <t>Number of abnormally released RABs of CS-domain conversational services (AMR10.2K)</t>
  </si>
  <si>
    <t>C310231185</t>
  </si>
  <si>
    <t>Total number of released RABs of CS-domain conversational services (AMR12.2K)</t>
  </si>
  <si>
    <t>C310231162</t>
  </si>
  <si>
    <t>Number of abnormally released RABs of CS-domain conversational services (AMR12.2K)</t>
  </si>
  <si>
    <t>C310231184</t>
  </si>
  <si>
    <t>Number of abnormally released RABs of CS-domain background services</t>
  </si>
  <si>
    <t>C310231183</t>
  </si>
  <si>
    <t>Number of abnormally released RABs of CS-domain interactive services</t>
  </si>
  <si>
    <t>C310231182</t>
  </si>
  <si>
    <t>Number of abnormally released RABs of CS-domain streaming services</t>
  </si>
  <si>
    <t>C310231181</t>
  </si>
  <si>
    <t>Number of abnormally released RABs of CS-domain conversational other services</t>
  </si>
  <si>
    <t>C310231180</t>
  </si>
  <si>
    <t>Number of abnormally released RABs of CS-domain conversational services (64K/64K, Videotelephone)</t>
  </si>
  <si>
    <t>C310231179</t>
  </si>
  <si>
    <t>Number of abnormally released RABs of CS-domain conversational services (32K/32K)</t>
  </si>
  <si>
    <t>C310231178</t>
  </si>
  <si>
    <t>Number of abnormally released RABs of CS-domain conversational services (WB-AMR6.60K)</t>
  </si>
  <si>
    <t>C310231177</t>
  </si>
  <si>
    <t>Number of abnormally released RABs of CS-domain conversational services (WB-AMR8.85K)</t>
  </si>
  <si>
    <t>C310231199</t>
  </si>
  <si>
    <t>Total number of released RABs of CS-domain conversational services (WB-AMR12.65K)</t>
  </si>
  <si>
    <t>C310231190</t>
  </si>
  <si>
    <t>Total number of released RABs of CS-domain conversational services (AMR5.9K)</t>
  </si>
  <si>
    <t>C310231176</t>
  </si>
  <si>
    <t>Number of abnormally released RABs of CS-domain conversational services (WB-AMR12.65K)</t>
  </si>
  <si>
    <t>C310231198</t>
  </si>
  <si>
    <t>Total number of released RABs of CS-domain conversational services (WB-AMR14.25K)</t>
  </si>
  <si>
    <t>C310231175</t>
  </si>
  <si>
    <t>Number of abnormally released RABs of CS-domain conversational services (WB-AMR14.25K)</t>
  </si>
  <si>
    <t>C310231197</t>
  </si>
  <si>
    <t>Total number of released RABs of CS-domain conversational services (WB-AMR15.85K)</t>
  </si>
  <si>
    <t>C310231174</t>
  </si>
  <si>
    <t>Number of abnormally released RABs of CS-domain conversational services (WB-AMR15.85K)</t>
  </si>
  <si>
    <t>C310231196</t>
  </si>
  <si>
    <t>Total number of released RABs of CS-domain conversational services (WB-AMR18.25K)</t>
  </si>
  <si>
    <t>C310231173</t>
  </si>
  <si>
    <t>Number of abnormally released RABs of CS-domain conversational services (WB-AMR18.25K)</t>
  </si>
  <si>
    <t>C310231195</t>
  </si>
  <si>
    <t>Total number of released RABs of CS-domain conversational services (WB-AMR19.85K)</t>
  </si>
  <si>
    <t>C310231172</t>
  </si>
  <si>
    <t>Number of abnormally released RABs of CS-domain conversational services (WB-AMR19.85K)</t>
  </si>
  <si>
    <t>C310231194</t>
  </si>
  <si>
    <t>Total number of released RABs of CS-domain conversational services (WB-AMR23.05K)</t>
  </si>
  <si>
    <t>C310231171</t>
  </si>
  <si>
    <t>Number of abnormally released RABs of CS-domain conversational services (WB-AMR23.05K)</t>
  </si>
  <si>
    <t>C310231193</t>
  </si>
  <si>
    <t>Total number of released RABs of CS-domain conversational services (WB-AMR23.85K)</t>
  </si>
  <si>
    <t>C310231170</t>
  </si>
  <si>
    <t>Number of abnormally released RABs of CS-domain conversational services (WB-AMR23.85K)</t>
  </si>
  <si>
    <t>C310231192</t>
  </si>
  <si>
    <t>Total number of released RABs of CS-domain conversational services (AMR4.75K)</t>
  </si>
  <si>
    <t>C310231191</t>
  </si>
  <si>
    <t>Total number of released RABs of CS-domain conversational services (AMR5.15K)</t>
  </si>
  <si>
    <t>1629875102026</t>
  </si>
  <si>
    <t>(C310241254+C310241255+C310241256+C310241257+C310241258+C310241259+C310241260+C310241261+C310241262+C310241263+C310241264+C310241265+C310241266+C310241267+C310241268+C310241269+C310241270+C310241271+C310241272+C310241273+C310241274+C310241275+C310241276+C310241277+C310241278+C310241279+C310241280+C310241281+C310241282+C310241283+C310241284+C310241285+C310241286+C310241287+C310241288+C310241289+C310241290+C310241291+C310241292-wPm.LogicCell.C313662030-wPm.LogicCell.C313662031)/(C311866866+C311866868+C311866869+C311866870+C311866871+C311866872+C311866873+C311866874+C311866875+C311866876+C311866878+C311866879+C311866880+C311866881+C311866882+C311866883+C311866884+C311866885+C311866886+C311866887+C311866888+C311866890+C311866891+C311866892+C311866893+C311866894+C311866895+C311866896+C311866897+C311866898+C311866899+C311866900)</t>
  </si>
  <si>
    <t>C311866887</t>
  </si>
  <si>
    <t>Number of released RBs for PS-domain interactive services (384K/384K)</t>
  </si>
  <si>
    <t>C311866886</t>
  </si>
  <si>
    <t>Number of released RBs for PS-domain interactive services (128K/384K)</t>
  </si>
  <si>
    <t>C311866885</t>
  </si>
  <si>
    <t>Number of released RBs for PS-domain interactive services (128K/128K)</t>
  </si>
  <si>
    <t>C311866884</t>
  </si>
  <si>
    <t>Number of released RBs for PS-domain interactive services (64K/384K)</t>
  </si>
  <si>
    <t>C310241290</t>
  </si>
  <si>
    <t>Number of abnormally released RABs of PS-domain background services (128K/384K)</t>
  </si>
  <si>
    <t>C311866883</t>
  </si>
  <si>
    <t>Number of released RBs for PS-domain interactive services (64K/256K)</t>
  </si>
  <si>
    <t>C311866882</t>
  </si>
  <si>
    <t>Number of released RBs for PS-domain interactive services (64K/128K)</t>
  </si>
  <si>
    <t>C310241292</t>
  </si>
  <si>
    <t>Number of abnormally released RABs of PS-domain background other services</t>
  </si>
  <si>
    <t>C311866881</t>
  </si>
  <si>
    <t>Number of released RBs for PS-domain interactive services (64K/64K)</t>
  </si>
  <si>
    <t>C310241291</t>
  </si>
  <si>
    <t>Number of abnormally released RABs of PS-domain background services (384K/384K)</t>
  </si>
  <si>
    <t>C311866880</t>
  </si>
  <si>
    <t>Number of released RBs for PS-domain interactive services (16K/64K)</t>
  </si>
  <si>
    <t>C310241258</t>
  </si>
  <si>
    <t>Number of abnormally released RABs of PS-domain streaming services (16K/64K)</t>
  </si>
  <si>
    <t>C310241257</t>
  </si>
  <si>
    <t>Number of abnormally released RABs of PS-domain streaming services (32K/32K)</t>
  </si>
  <si>
    <t>C310241259</t>
  </si>
  <si>
    <t>Number of abnormally released RABs of PS-domain streaming services (64K/64K)</t>
  </si>
  <si>
    <t>C310241254</t>
  </si>
  <si>
    <t>Number of abnormally released RABs of PS-domain conversational VOIP services</t>
  </si>
  <si>
    <t>C310241256</t>
  </si>
  <si>
    <t>Number of abnormally released RABs of PS-domain streaming services (8K/8K)</t>
  </si>
  <si>
    <t>C310241255</t>
  </si>
  <si>
    <t>Number of abnormally released RABs of PS-domain conversational other services</t>
  </si>
  <si>
    <t>C311866888</t>
  </si>
  <si>
    <t>Number of released RBs for PS-domain interactive other services</t>
  </si>
  <si>
    <t>C310241283</t>
  </si>
  <si>
    <t>Number of abnormally released RABs of PS-domain background services (64K/64K)</t>
  </si>
  <si>
    <t>C311866876</t>
  </si>
  <si>
    <t>Number of released RBs for PS-domain streaming other services</t>
  </si>
  <si>
    <t>C310241282</t>
  </si>
  <si>
    <t>Number of abnormally released RABs of PS-domain background services (16K/64K)</t>
  </si>
  <si>
    <t>C311866875</t>
  </si>
  <si>
    <t>Number of released RBs for PS-domain streaming services (384K/384K)</t>
  </si>
  <si>
    <t>C310241285</t>
  </si>
  <si>
    <t>Number of abnormally released RABs of PS-domain background services (64K/144K)</t>
  </si>
  <si>
    <t>C311866874</t>
  </si>
  <si>
    <t>Number of released RBs for PS-domain streaming services (64K/384K)</t>
  </si>
  <si>
    <t>C310241284</t>
  </si>
  <si>
    <t>Number of abnormally released RABs of PS-domain background services (64K/128K)</t>
  </si>
  <si>
    <t>C311866873</t>
  </si>
  <si>
    <t>Number of released RBs for PS-domain streaming services (64K/256K)</t>
  </si>
  <si>
    <t>C311866872</t>
  </si>
  <si>
    <t>Number of released RBs for PS-domain streaming services (64K/128K)</t>
  </si>
  <si>
    <t>C311866871</t>
  </si>
  <si>
    <t>Number of released RBs for PS-domain streaming services (64K/64K)</t>
  </si>
  <si>
    <t>C310241281</t>
  </si>
  <si>
    <t>Number of abnormally released RABs of PS-domain background services (32K/32K)</t>
  </si>
  <si>
    <t>C311866870</t>
  </si>
  <si>
    <t>Number of released RBs for PS-domain streaming services (16K/64K)</t>
  </si>
  <si>
    <t>C310241280</t>
  </si>
  <si>
    <t>Number of abnormally released RABs of PS-domain background services (8K/8K)</t>
  </si>
  <si>
    <t>C310241287</t>
  </si>
  <si>
    <t>Number of abnormally released RABs of PS-domain background services (64K/384K)</t>
  </si>
  <si>
    <t>C310241286</t>
  </si>
  <si>
    <t>Number of abnormally released RABs of PS-domain background services (64K/256K)</t>
  </si>
  <si>
    <t>C311866879</t>
  </si>
  <si>
    <t>Number of released RBs for PS-domain interactive services (32K/32K)</t>
  </si>
  <si>
    <t>C310241289</t>
  </si>
  <si>
    <t>Number of abnormally released RABs of PS-domain background services (128K/144K)</t>
  </si>
  <si>
    <t>C311866878</t>
  </si>
  <si>
    <t>Number of released RBs for PS-domain interactive services (8K/8K)</t>
  </si>
  <si>
    <t>C310241288</t>
  </si>
  <si>
    <t>Number of abnormally released RABs of PS-domain background services (128K/128K)</t>
  </si>
  <si>
    <t>C310241272</t>
  </si>
  <si>
    <t>Number of abnormally released RABs of PS-domain interactive services (64K/144K)</t>
  </si>
  <si>
    <t>C310241271</t>
  </si>
  <si>
    <t>Number of abnormally released RABs of PS-domain interactive services (64K/128K)</t>
  </si>
  <si>
    <t>C310241274</t>
  </si>
  <si>
    <t>Number of abnormally released RABs of PS-domain interactive services (64K/384K)</t>
  </si>
  <si>
    <t>C310241273</t>
  </si>
  <si>
    <t>Number of abnormally released RABs of PS-domain interactive services (64K/256K)</t>
  </si>
  <si>
    <t>C310241270</t>
  </si>
  <si>
    <t>Number of abnormally released RABs of PS-domain interactive services (64K/64K)</t>
  </si>
  <si>
    <t>C310241279</t>
  </si>
  <si>
    <t>Number of abnormally released RABs of PS-domain interactive other services</t>
  </si>
  <si>
    <t>C310241276</t>
  </si>
  <si>
    <t>Number of abnormally released RABs of PS-domain interactive services (128K/144K)</t>
  </si>
  <si>
    <t>C311866869</t>
  </si>
  <si>
    <t>Number of released RBs for PS-domain streaming services (32K/32K)</t>
  </si>
  <si>
    <t>C310241275</t>
  </si>
  <si>
    <t>Number of abnormally released RABs of PS-domain interactive services (128K/128K)</t>
  </si>
  <si>
    <t>C311866868</t>
  </si>
  <si>
    <t>Number of released RBs for PS-domain streaming services (8K/8K)</t>
  </si>
  <si>
    <t>C310241278</t>
  </si>
  <si>
    <t>Number of abnormally released RABs of PS-domain interactive services (384K/384K)</t>
  </si>
  <si>
    <t>C311866900</t>
  </si>
  <si>
    <t>Total number of RB release for PS domain,background-other</t>
  </si>
  <si>
    <t>C310241277</t>
  </si>
  <si>
    <t>Number of abnormally released RABs of PS-domain interactive services (128K/384K)</t>
  </si>
  <si>
    <t>C311866866</t>
  </si>
  <si>
    <t>Number of released RBs for PS-domain conversational services</t>
  </si>
  <si>
    <t>C311866890</t>
  </si>
  <si>
    <t>Total number of RB release for PS domain,background-8K/8K</t>
  </si>
  <si>
    <t>C310241261</t>
  </si>
  <si>
    <t>Number of abnormally released RABs of PS-domain streaming services (64K/144K)</t>
  </si>
  <si>
    <t>C311866898</t>
  </si>
  <si>
    <t>Total number of RB release for PS domain,background-128K/384K</t>
  </si>
  <si>
    <t>C310241260</t>
  </si>
  <si>
    <t>Number of abnormally released RABs of PS-domain streaming services (64K/128K)</t>
  </si>
  <si>
    <t>C311866897</t>
  </si>
  <si>
    <t>Total number of RB release for PS domain,background-128K/128K</t>
  </si>
  <si>
    <t>C310241263</t>
  </si>
  <si>
    <t>Number of abnormally released RABs of PS-domain streaming services (64K/384K)</t>
  </si>
  <si>
    <t>C311866896</t>
  </si>
  <si>
    <t>Total number of RB release for PS domain,background-64K/384K</t>
  </si>
  <si>
    <t>C310241262</t>
  </si>
  <si>
    <t>Number of abnormally released RABs of PS-domain streaming services (64K/256K)</t>
  </si>
  <si>
    <t>C311866895</t>
  </si>
  <si>
    <t>Total number of RB release for PS domain,background-64K/256K</t>
  </si>
  <si>
    <t>C311866894</t>
  </si>
  <si>
    <t>Total number of RB release for PS domain,background-64K/128K</t>
  </si>
  <si>
    <t>C311866893</t>
  </si>
  <si>
    <t>Total number of RB release for PS domain,background-64K/64K</t>
  </si>
  <si>
    <t>C311866892</t>
  </si>
  <si>
    <t>Total number of RB release for PS domain,background-16K/64K</t>
  </si>
  <si>
    <t>C311866891</t>
  </si>
  <si>
    <t>Total number of RB release for PS domain,background-32K/32K</t>
  </si>
  <si>
    <t>C310241269</t>
  </si>
  <si>
    <t>Number of abnormally released RABs of PS-domain interactive services (16K/64K)</t>
  </si>
  <si>
    <t>C310241268</t>
  </si>
  <si>
    <t>Number of abnormally released RABs of PS-domain interactive services (32K/32K)</t>
  </si>
  <si>
    <t>C310241265</t>
  </si>
  <si>
    <t>Number of abnormally released RABs of PS-domain streaming services (above 384K/384K)</t>
  </si>
  <si>
    <t>C310241264</t>
  </si>
  <si>
    <t>Number of abnormally released RABs of PS-domain streaming services (384K/384K)</t>
  </si>
  <si>
    <t>C310241267</t>
  </si>
  <si>
    <t>Number of abnormally released RABs of PS-domain interactive services (8K/8K)</t>
  </si>
  <si>
    <t>C310241266</t>
  </si>
  <si>
    <t>Number of abnormally released RABs of PS-domain streaming other services</t>
  </si>
  <si>
    <t>C311866899</t>
  </si>
  <si>
    <t>Total number of RB release for PS domain,background-384K/384K</t>
  </si>
  <si>
    <t>C313662030</t>
  </si>
  <si>
    <t>Number of PS RABs abnormally released by the RNC in logic cells during the transition from RRC_FACH to RRC_PCH</t>
  </si>
  <si>
    <t>C313662031</t>
  </si>
  <si>
    <t>Number of PS RABs abnormally released by the RNC in logic cells due to procedure failures during the transition from CELL_DCH to PCH</t>
  </si>
  <si>
    <t>C310110355</t>
  </si>
  <si>
    <t>C310110338</t>
  </si>
  <si>
    <t>C310110337</t>
  </si>
  <si>
    <t>C310110336</t>
  </si>
  <si>
    <t>300824</t>
  </si>
  <si>
    <t>C310444439/C310444444</t>
  </si>
  <si>
    <t>C310444439</t>
  </si>
  <si>
    <t>Sum of statistical TCP usages(%)</t>
  </si>
  <si>
    <t>C310444444</t>
  </si>
  <si>
    <t>Number of times that the TCP is reported</t>
  </si>
  <si>
    <t>300852</t>
  </si>
  <si>
    <t>C310474586/C310476533</t>
  </si>
  <si>
    <t>C310476533</t>
  </si>
  <si>
    <t>Number of times that the mark-space ratio of RACH traffic is collected</t>
  </si>
  <si>
    <t>C310474586</t>
  </si>
  <si>
    <t>Sum of statistical mark-space ratios of RACH traffic(%)</t>
  </si>
  <si>
    <t>1629875102025</t>
  </si>
  <si>
    <t>0-((C312262433*21+C312262434*18+C312262435*15+C312262436*12+C312262437*9+C312262438*6+C312262439*3+C312262440*0)/(C312262433+C312262434+C312262435+C312262436+C312262437+C312262438+C312262439+C312262440))</t>
  </si>
  <si>
    <t>C312262438</t>
  </si>
  <si>
    <t>Number of times that Ec/N0 of the current cell carried in the RRC connection request message is in [-9,-6) dB.</t>
  </si>
  <si>
    <t>C312262439</t>
  </si>
  <si>
    <t>Number of times that Ec/N0 of the current cell carried in the RRC connection request message is in [-6,-3) dB.</t>
  </si>
  <si>
    <t>C312262436</t>
  </si>
  <si>
    <t>Number of times that Ec/N0 of the current cell carried in the RRC connection request message is in [-15,-12) dB.</t>
  </si>
  <si>
    <t>C312262437</t>
  </si>
  <si>
    <t>Number of times that Ec/N0 of the current cell carried in the RRC connection request message is in [-12,-9) dB.</t>
  </si>
  <si>
    <t>C312262434</t>
  </si>
  <si>
    <t>Number of times that Ec/N0 of the current cell carried in the RRC connection request message is in [-21,-18) dB.</t>
  </si>
  <si>
    <t>C312262435</t>
  </si>
  <si>
    <t>Number of times that Ec/N0 of the current cell carried in the RRC connection request message is in [-18,-15) dB.</t>
  </si>
  <si>
    <t>C312262433</t>
  </si>
  <si>
    <t>Number of times that Ec/N0 of the current cell carried in the RRC connection request message is in [-24,-21) dB.</t>
  </si>
  <si>
    <t>C312262440</t>
  </si>
  <si>
    <t>Number of times that Ec/N0 of the current cell carried in the RRC connection request message is in [-3,0) dB.</t>
  </si>
  <si>
    <t>1629875102014</t>
  </si>
  <si>
    <t>(C310444466/C310444467)-112</t>
  </si>
  <si>
    <t>C310444467</t>
  </si>
  <si>
    <t>Number of times that the RTWP is reported</t>
  </si>
  <si>
    <t>C310444466</t>
  </si>
  <si>
    <t>Sum of statistical RTWPs(dBm)</t>
  </si>
  <si>
    <t>1629875102015</t>
  </si>
  <si>
    <t>((C310322216+C310322217+C310322218+C310322232+C310322233+C310322234)-(C310322222+C310322223+C310322224+C310322225+C310322226+C310322227+C310322230+C310322231+C310322235+C310322236+C310322237+C310322238+C310322239+C310322240+C310322243+C310322244))/(C310322216+C310322217+C310322218+C310322232+C310322233+C310322234)</t>
  </si>
  <si>
    <t>C310322217</t>
  </si>
  <si>
    <t>Number of attempts of active-set update for cell addition in the case of soft handover</t>
  </si>
  <si>
    <t>C310322239</t>
  </si>
  <si>
    <t>Number of failed active-set updates for cell deletion due to protocol errors</t>
  </si>
  <si>
    <t>C310322218</t>
  </si>
  <si>
    <t>Number of attempts of active-set update for cell addition in the case of soft handover over the Iur interface</t>
  </si>
  <si>
    <t>C310322226</t>
  </si>
  <si>
    <t>Number of failed active-set updates for cell addition due to protocol errors</t>
  </si>
  <si>
    <t>C310322237</t>
  </si>
  <si>
    <t>Number of failed active-set updates for cell deletion due to incompatible simultaneous reconfiguration</t>
  </si>
  <si>
    <t>C310322216</t>
  </si>
  <si>
    <t>Number of attempts of active-set update for cell addition in the case of softer handover</t>
  </si>
  <si>
    <t>C310322227</t>
  </si>
  <si>
    <t>Number of failed active-set updates for cell addition due to cell update</t>
  </si>
  <si>
    <t>C310322238</t>
  </si>
  <si>
    <t>Number of failed active-set updates for cell deletion due to compression mode errors</t>
  </si>
  <si>
    <t>C310322224</t>
  </si>
  <si>
    <t>Number of failed active-set updates for cell addition due to incompatible simultaneous reconfiguration</t>
  </si>
  <si>
    <t>C310322235</t>
  </si>
  <si>
    <t>Number of failed active-set updates for cell deletion due to unsupported configuration</t>
  </si>
  <si>
    <t>C310322225</t>
  </si>
  <si>
    <t>Number of failed active-set updates for cell addition due to compression mode errors</t>
  </si>
  <si>
    <t>C310322236</t>
  </si>
  <si>
    <t>Number of failed active-set updates for cell deletion due to physical channel failures</t>
  </si>
  <si>
    <t>C310322233</t>
  </si>
  <si>
    <t>Number of attempts of active-set update for cell deletion in the case of soft handover</t>
  </si>
  <si>
    <t>C310322222</t>
  </si>
  <si>
    <t>Number of failed active-set updates for cell addition due to unsupported configuration</t>
  </si>
  <si>
    <t>C310322244</t>
  </si>
  <si>
    <t>Number of failed active-set updates for cell deletion due to other causes</t>
  </si>
  <si>
    <t>C310322234</t>
  </si>
  <si>
    <t>Number of attempts of active-set update for cell deletion in the case of soft handover over the Iur interface</t>
  </si>
  <si>
    <t>C310322223</t>
  </si>
  <si>
    <t>Number of failed active-set updates for cell addition due to physical channel failures</t>
  </si>
  <si>
    <t>C310322231</t>
  </si>
  <si>
    <t>Number of failed active-set updates for cell addition due to other causes</t>
  </si>
  <si>
    <t>C310322232</t>
  </si>
  <si>
    <t>Number of attempts of active-set update for cell deletion in the case of softer handover</t>
  </si>
  <si>
    <t>C310322243</t>
  </si>
  <si>
    <t>Number of failed active-set updates for cell deletion due to no reply</t>
  </si>
  <si>
    <t>C310322240</t>
  </si>
  <si>
    <t>Number of failed active-set updates for cell deletion due to cell update</t>
  </si>
  <si>
    <t>C310322230</t>
  </si>
  <si>
    <t>Number of failed active-set updates for cell addition due to no reply</t>
  </si>
  <si>
    <t>1709710926924</t>
  </si>
  <si>
    <t>100*(C310352945-C310352946-C310352947-C310352948-C310352949-C310352950-C310352951)/C310352945</t>
  </si>
  <si>
    <t>C310352945</t>
  </si>
  <si>
    <t>Number of attempts of outgoing inter-RAT handover for CS services</t>
  </si>
  <si>
    <t>C310352947</t>
  </si>
  <si>
    <t>Number of failed outgoing inter-RAT handovers for CS services due to physical channel failures</t>
  </si>
  <si>
    <t>C310352946</t>
  </si>
  <si>
    <t>Number of failed outgoing inter-RAT handovers for CS services due to unacceptable configuration</t>
  </si>
  <si>
    <t>C310352949</t>
  </si>
  <si>
    <t>Number of failed outgoing inter-RAT handovers for CS services due to inter-RAT protocol errors</t>
  </si>
  <si>
    <t>C310352948</t>
  </si>
  <si>
    <t>Number of failed outgoing inter-RAT handovers for CS services due to protocol errors</t>
  </si>
  <si>
    <t>C310352950</t>
  </si>
  <si>
    <t>Number of failed outgoing inter-RAT handovers for CS services due to unspecified causes</t>
  </si>
  <si>
    <t>C310352951</t>
  </si>
  <si>
    <t>Number of failed outgoing inter-RAT handovers for CS services due to no reply</t>
  </si>
  <si>
    <t>1629875102017</t>
  </si>
  <si>
    <t>(C310332667-C310332671)/C310332667</t>
  </si>
  <si>
    <t>C310332671</t>
  </si>
  <si>
    <t>Number of failed inter-frequency outgoing hard handovers for CS services</t>
  </si>
  <si>
    <t>C310332667</t>
  </si>
  <si>
    <t>Number of attempts of inter-frequency outgoing hard handover for CS services</t>
  </si>
  <si>
    <t>300865</t>
  </si>
  <si>
    <t>(C310535117+C310535118)/(C310535119+C310535120)</t>
  </si>
  <si>
    <t>C310535120</t>
  </si>
  <si>
    <t>Total number of merged UL transmission blocks received by the PS DCH(Blocks)</t>
  </si>
  <si>
    <t>C310535119</t>
  </si>
  <si>
    <t>Total number of merged UL transmission blocks received by the CS DCH(Blocks)</t>
  </si>
  <si>
    <t>C310535118</t>
  </si>
  <si>
    <t>Number of error blocks after the UL transmission blocks received by the PS DCH are merged(Blocks)</t>
  </si>
  <si>
    <t>C310535117</t>
  </si>
  <si>
    <t>Number of error blocks after the UL transmission blocks received by the CS DCH are merged(Blocks)</t>
  </si>
  <si>
    <t>1617339553625</t>
  </si>
  <si>
    <t xml:space="preserve">(C310535973+C310535977+C310535973+C310535977)/(C310535974+C310535978+C310535973+C310535977+C310535973+C310535977)
</t>
  </si>
  <si>
    <t>C310535978</t>
  </si>
  <si>
    <t>Number of received DCH/E-DCH data FP frames of interactive and background services</t>
  </si>
  <si>
    <t>C310535977</t>
  </si>
  <si>
    <t>Number of discarded DCH/E-DCH data FP frames of interactive and background services due to Iub transmission bearer error</t>
  </si>
  <si>
    <t>C310535974</t>
  </si>
  <si>
    <t>Number of received DCH/E-DCH data FP frames of conversational and streaming services</t>
  </si>
  <si>
    <t>C310535973</t>
  </si>
  <si>
    <t>Number of discarded DCH/E-DCH data FP frames of conversation and streaming services due to Iub transmission bearer error</t>
  </si>
  <si>
    <t>1709710925640</t>
  </si>
  <si>
    <t>(C310110337+C310110340+C310110394+C310110397)</t>
  </si>
  <si>
    <t>C310110397</t>
  </si>
  <si>
    <t>Number of failed RAB assignment setup for the PS domain due to uplink CE congestion</t>
  </si>
  <si>
    <t>C310110394</t>
  </si>
  <si>
    <t>Number of failed RAB assignment setup for the PS domain due to downlink CE congestion</t>
  </si>
  <si>
    <t>C310110340</t>
  </si>
  <si>
    <t>Number of failed RAB assignment setup for the CS domain due to uplink CE congestion</t>
  </si>
  <si>
    <t>1709710925506</t>
  </si>
  <si>
    <t>C310110359+C310110416</t>
  </si>
  <si>
    <t>C310110359</t>
  </si>
  <si>
    <t>Number of failed RAB assignment setup for the CS domain due to Iub congestion</t>
  </si>
  <si>
    <t>C310110416</t>
  </si>
  <si>
    <t>Number of failed RAB assignment setup for the PS domain due to Iub congestion</t>
  </si>
  <si>
    <t>C310080234</t>
  </si>
  <si>
    <t>300230</t>
  </si>
  <si>
    <t>(C310555152-C310555155-C310555156)/(C310555152-C310555155)</t>
  </si>
  <si>
    <t>C310555155</t>
  </si>
  <si>
    <t>Number of invalid cell paging requests of type 1</t>
  </si>
  <si>
    <t>C310555152</t>
  </si>
  <si>
    <t>Total number of cell paging requests of type 1</t>
  </si>
  <si>
    <t>C310555156</t>
  </si>
  <si>
    <t>Number of cell paging requests of type 1 that fail to be sent</t>
  </si>
  <si>
    <t>1709710927243</t>
  </si>
  <si>
    <t>86400*9138-(C310464560)</t>
  </si>
  <si>
    <t>1709710924649</t>
  </si>
  <si>
    <t>C310030462+C310030460</t>
  </si>
  <si>
    <t>C310030460</t>
  </si>
  <si>
    <t>Average number of UEs with DCH/HS-DSCH RBs in the best cell</t>
  </si>
  <si>
    <t>C310030462</t>
  </si>
  <si>
    <t>Average number of UEs with E-DCH/HS-DSCH RBs in the best cell</t>
  </si>
  <si>
    <t>300690</t>
  </si>
  <si>
    <t>(C310010292+C310010293+C310010294+C310010295)/Gr</t>
  </si>
  <si>
    <t>C310010292</t>
  </si>
  <si>
    <t>UL RAB Iub FP traffic of Class C services on HSUPA channels(kBytes)</t>
  </si>
  <si>
    <t>C310010294</t>
  </si>
  <si>
    <t>UL RAB Iub FP traffic of Class I services on HSUPA channels(kBytes)</t>
  </si>
  <si>
    <t>C310010293</t>
  </si>
  <si>
    <t>UL RAB Iub FP traffic of Class S services on HSUPA channels(kBytes)</t>
  </si>
  <si>
    <t>C310010295</t>
  </si>
  <si>
    <t>UL RAB Iub FP traffic of Class B services on HSUPA channels(kBytes)</t>
  </si>
  <si>
    <t>300691</t>
  </si>
  <si>
    <t>(C310010296+C310010297+C310010298+C310010299)/Gr</t>
  </si>
  <si>
    <t>C310010298</t>
  </si>
  <si>
    <t>DL RAB Iub FP traffic of Class I services on HSDPA channels(kBytes)</t>
  </si>
  <si>
    <t>C310010297</t>
  </si>
  <si>
    <t>DL RAB Iub FP traffic of Class S services on HSDPA channels(kBytes)</t>
  </si>
  <si>
    <t>C310010299</t>
  </si>
  <si>
    <t>DL RAB Iub FP traffic of Class B services on HSDPA channels(kBytes)</t>
  </si>
  <si>
    <t>C310010296</t>
  </si>
  <si>
    <t>DL RAB Iub FP traffic of Class C services on HSDPA channels(kBytes)</t>
  </si>
  <si>
    <t>Row Labels</t>
  </si>
  <si>
    <t>Column Labels</t>
  </si>
  <si>
    <t>Sum of ORA_3G_CS Voice Traffic (Erl)</t>
  </si>
  <si>
    <t>Sum of ORA_3G_Traffic Total Data_MAC (GB)</t>
  </si>
  <si>
    <t>Average of ORA_3G_CSSR CS with Cell PCH/URA PCH (%)</t>
  </si>
  <si>
    <t>Average of ORA_3G_CSSR_PS_with_Cell_PCH (%)</t>
  </si>
  <si>
    <t>Average of ORA_3G_Drop Call Rate CS(%)</t>
  </si>
  <si>
    <t>Average of ORA_3G_Call Drop Data All Services(%)</t>
  </si>
  <si>
    <t>Avaibility</t>
  </si>
  <si>
    <t>Average of Avaibility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</si>
</sst>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%"/>
    <numFmt numFmtId="165" formatCode="#,##0.##"/>
    <numFmt numFmtId="166" formatCode="#,##0.####"/>
    <numFmt numFmtId="167" formatCode="#,##0.##%"/>
    <numFmt numFmtId="168" formatCode="0.0"/>
  </numFmts>
  <fonts count="120" x14ac:knownFonts="1">
    <font>
      <sz val="11"/>
      <color indexed="8"/>
      <name val="Aptos Narrow"/>
      <family val="2"/>
      <scheme val="minor"/>
    </font>
    <font>
      <sz val="11"/>
      <name val="Microsoft YaHei"/>
    </font>
    <font>
      <b/>
      <sz val="12"/>
      <name val="Microsoft YaHei"/>
    </font>
    <font>
      <b/>
      <sz val="12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b/>
      <sz val="11"/>
      <name val="Microsoft YaHei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D7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5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0" fontId="3" fillId="2" borderId="0" xfId="0" applyFont="1" applyFill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6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0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43" fillId="0" borderId="0" xfId="0" applyFont="1" applyAlignment="1">
      <alignment wrapText="1"/>
    </xf>
    <xf numFmtId="0" fontId="44" fillId="0" borderId="0" xfId="0" applyFont="1" applyAlignment="1">
      <alignment wrapText="1"/>
    </xf>
    <xf numFmtId="0" fontId="45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7" fillId="0" borderId="0" xfId="0" applyFont="1" applyAlignment="1">
      <alignment wrapText="1"/>
    </xf>
    <xf numFmtId="0" fontId="48" fillId="0" borderId="0" xfId="0" applyFont="1" applyAlignment="1">
      <alignment wrapText="1"/>
    </xf>
    <xf numFmtId="0" fontId="49" fillId="0" borderId="0" xfId="0" applyFont="1" applyAlignment="1">
      <alignment wrapText="1"/>
    </xf>
    <xf numFmtId="0" fontId="50" fillId="0" borderId="0" xfId="0" applyFont="1" applyAlignment="1">
      <alignment wrapText="1"/>
    </xf>
    <xf numFmtId="0" fontId="51" fillId="0" borderId="0" xfId="0" applyFont="1" applyAlignment="1">
      <alignment wrapText="1"/>
    </xf>
    <xf numFmtId="0" fontId="52" fillId="0" borderId="0" xfId="0" applyFont="1" applyAlignment="1">
      <alignment wrapText="1"/>
    </xf>
    <xf numFmtId="0" fontId="53" fillId="0" borderId="0" xfId="0" applyFont="1" applyAlignment="1">
      <alignment wrapText="1"/>
    </xf>
    <xf numFmtId="0" fontId="54" fillId="0" borderId="0" xfId="0" applyFont="1" applyAlignment="1">
      <alignment wrapText="1"/>
    </xf>
    <xf numFmtId="0" fontId="5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6" fillId="0" borderId="0" xfId="0" applyFont="1" applyAlignment="1">
      <alignment wrapText="1"/>
    </xf>
    <xf numFmtId="0" fontId="57" fillId="0" borderId="0" xfId="0" applyFont="1" applyAlignment="1">
      <alignment wrapText="1"/>
    </xf>
    <xf numFmtId="0" fontId="58" fillId="0" borderId="0" xfId="0" applyFont="1" applyAlignment="1">
      <alignment wrapText="1"/>
    </xf>
    <xf numFmtId="0" fontId="59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0" fillId="0" borderId="0" xfId="0" applyFont="1" applyAlignment="1">
      <alignment wrapText="1"/>
    </xf>
    <xf numFmtId="0" fontId="61" fillId="0" borderId="0" xfId="0" applyFont="1" applyAlignment="1">
      <alignment wrapText="1"/>
    </xf>
    <xf numFmtId="0" fontId="62" fillId="0" borderId="0" xfId="0" applyFont="1" applyAlignment="1">
      <alignment wrapText="1"/>
    </xf>
    <xf numFmtId="0" fontId="6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4" fillId="0" borderId="0" xfId="0" applyFont="1" applyAlignment="1">
      <alignment wrapText="1"/>
    </xf>
    <xf numFmtId="0" fontId="65" fillId="0" borderId="0" xfId="0" applyFont="1" applyAlignment="1">
      <alignment wrapText="1"/>
    </xf>
    <xf numFmtId="0" fontId="66" fillId="0" borderId="0" xfId="0" applyFont="1" applyAlignment="1">
      <alignment wrapText="1"/>
    </xf>
    <xf numFmtId="0" fontId="67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8" fillId="0" borderId="0" xfId="0" applyFont="1" applyAlignment="1">
      <alignment wrapText="1"/>
    </xf>
    <xf numFmtId="0" fontId="69" fillId="0" borderId="0" xfId="0" applyFont="1" applyAlignment="1">
      <alignment wrapText="1"/>
    </xf>
    <xf numFmtId="0" fontId="70" fillId="0" borderId="0" xfId="0" applyFont="1" applyAlignment="1">
      <alignment wrapText="1"/>
    </xf>
    <xf numFmtId="0" fontId="7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72" fillId="0" borderId="0" xfId="0" applyFont="1" applyAlignment="1">
      <alignment wrapText="1"/>
    </xf>
    <xf numFmtId="0" fontId="73" fillId="0" borderId="0" xfId="0" applyFont="1" applyAlignment="1">
      <alignment wrapText="1"/>
    </xf>
    <xf numFmtId="0" fontId="74" fillId="0" borderId="0" xfId="0" applyFont="1" applyAlignment="1">
      <alignment wrapText="1"/>
    </xf>
    <xf numFmtId="0" fontId="7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76" fillId="0" borderId="0" xfId="0" applyFont="1" applyAlignment="1">
      <alignment wrapText="1"/>
    </xf>
    <xf numFmtId="0" fontId="77" fillId="0" borderId="0" xfId="0" applyFont="1" applyAlignment="1">
      <alignment wrapText="1"/>
    </xf>
    <xf numFmtId="0" fontId="78" fillId="0" borderId="0" xfId="0" applyFont="1" applyAlignment="1">
      <alignment wrapText="1"/>
    </xf>
    <xf numFmtId="0" fontId="79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0" fillId="0" borderId="0" xfId="0" applyFont="1" applyAlignment="1">
      <alignment wrapText="1"/>
    </xf>
    <xf numFmtId="0" fontId="81" fillId="0" borderId="0" xfId="0" applyFont="1" applyAlignment="1">
      <alignment wrapText="1"/>
    </xf>
    <xf numFmtId="0" fontId="82" fillId="0" borderId="0" xfId="0" applyFont="1" applyAlignment="1">
      <alignment wrapText="1"/>
    </xf>
    <xf numFmtId="0" fontId="8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4" fillId="0" borderId="0" xfId="0" applyFont="1" applyAlignment="1">
      <alignment wrapText="1"/>
    </xf>
    <xf numFmtId="0" fontId="85" fillId="0" borderId="0" xfId="0" applyFont="1" applyAlignment="1">
      <alignment wrapText="1"/>
    </xf>
    <xf numFmtId="0" fontId="86" fillId="0" borderId="0" xfId="0" applyFont="1" applyAlignment="1">
      <alignment wrapText="1"/>
    </xf>
    <xf numFmtId="0" fontId="87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8" fillId="0" borderId="0" xfId="0" applyFont="1" applyAlignment="1">
      <alignment wrapText="1"/>
    </xf>
    <xf numFmtId="0" fontId="89" fillId="0" borderId="0" xfId="0" applyFont="1" applyAlignment="1">
      <alignment wrapText="1"/>
    </xf>
    <xf numFmtId="0" fontId="90" fillId="0" borderId="0" xfId="0" applyFont="1" applyAlignment="1">
      <alignment wrapText="1"/>
    </xf>
    <xf numFmtId="0" fontId="9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92" fillId="0" borderId="0" xfId="0" applyFont="1" applyAlignment="1">
      <alignment wrapText="1"/>
    </xf>
    <xf numFmtId="0" fontId="93" fillId="0" borderId="0" xfId="0" applyFont="1" applyAlignment="1">
      <alignment wrapText="1"/>
    </xf>
    <xf numFmtId="0" fontId="94" fillId="0" borderId="0" xfId="0" applyFont="1" applyAlignment="1">
      <alignment wrapText="1"/>
    </xf>
    <xf numFmtId="0" fontId="9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96" fillId="0" borderId="0" xfId="0" applyFont="1" applyAlignment="1">
      <alignment wrapText="1"/>
    </xf>
    <xf numFmtId="0" fontId="97" fillId="0" borderId="0" xfId="0" applyFont="1" applyAlignment="1">
      <alignment wrapText="1"/>
    </xf>
    <xf numFmtId="0" fontId="98" fillId="0" borderId="0" xfId="0" applyFont="1" applyAlignment="1">
      <alignment wrapText="1"/>
    </xf>
    <xf numFmtId="0" fontId="99" fillId="0" borderId="0" xfId="0" applyFont="1" applyAlignment="1">
      <alignment wrapText="1"/>
    </xf>
    <xf numFmtId="0" fontId="100" fillId="0" borderId="0" xfId="0" applyFont="1" applyAlignment="1">
      <alignment wrapText="1"/>
    </xf>
    <xf numFmtId="0" fontId="101" fillId="0" borderId="0" xfId="0" applyFont="1" applyAlignment="1">
      <alignment wrapText="1"/>
    </xf>
    <xf numFmtId="0" fontId="10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03" fillId="0" borderId="0" xfId="0" applyFont="1" applyAlignment="1">
      <alignment wrapText="1"/>
    </xf>
    <xf numFmtId="0" fontId="104" fillId="0" borderId="0" xfId="0" applyFont="1" applyAlignment="1">
      <alignment wrapText="1"/>
    </xf>
    <xf numFmtId="0" fontId="105" fillId="0" borderId="0" xfId="0" applyFont="1" applyAlignment="1">
      <alignment wrapText="1"/>
    </xf>
    <xf numFmtId="0" fontId="10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07" fillId="0" borderId="0" xfId="0" applyFont="1" applyAlignment="1">
      <alignment wrapText="1"/>
    </xf>
    <xf numFmtId="0" fontId="108" fillId="0" borderId="0" xfId="0" applyFont="1" applyAlignment="1">
      <alignment wrapText="1"/>
    </xf>
    <xf numFmtId="0" fontId="109" fillId="0" borderId="0" xfId="0" applyFont="1" applyAlignment="1">
      <alignment wrapText="1"/>
    </xf>
    <xf numFmtId="0" fontId="11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11" fillId="0" borderId="0" xfId="0" applyFont="1" applyAlignment="1">
      <alignment wrapText="1"/>
    </xf>
    <xf numFmtId="0" fontId="112" fillId="0" borderId="0" xfId="0" applyFont="1" applyAlignment="1">
      <alignment wrapText="1"/>
    </xf>
    <xf numFmtId="0" fontId="113" fillId="0" borderId="0" xfId="0" applyFont="1" applyAlignment="1">
      <alignment wrapText="1"/>
    </xf>
    <xf numFmtId="0" fontId="11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15" fillId="0" borderId="0" xfId="0" applyFont="1" applyAlignment="1">
      <alignment wrapText="1"/>
    </xf>
    <xf numFmtId="0" fontId="116" fillId="0" borderId="0" xfId="0" applyFont="1" applyAlignment="1">
      <alignment wrapText="1"/>
    </xf>
    <xf numFmtId="0" fontId="117" fillId="0" borderId="0" xfId="0" applyFont="1" applyAlignment="1">
      <alignment wrapText="1"/>
    </xf>
    <xf numFmtId="0" fontId="118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2" fontId="119" fillId="0" borderId="1" xfId="0" applyNumberFormat="1" applyFont="1" applyBorder="1" applyAlignment="1">
      <alignment horizontal="center" vertical="center"/>
    </xf>
    <xf numFmtId="168" fontId="119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/>
    </xf>
    <xf numFmtId="0" fontId="119" fillId="0" borderId="1" xfId="0" applyFont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gmo Kenfack Bryanne" refreshedDate="46090.43737511574" createdVersion="8" refreshedVersion="8" minRefreshableVersion="3" recordCount="348" xr:uid="{946CDE25-A621-4378-9C7B-70DEC510D534}">
  <cacheSource type="worksheet">
    <worksheetSource ref="A1:AN1048576" sheet="Sheet0"/>
  </cacheSource>
  <cacheFields count="40">
    <cacheField name="Begin Time" numFmtId="0">
      <sharedItems containsBlank="1" count="50">
        <s v="2026-03-07 07:00:00"/>
        <s v="2026-03-07 08:00:00"/>
        <s v="2026-03-07 09:00:00"/>
        <s v="2026-03-07 10:00:00"/>
        <s v="2026-03-07 11:00:00"/>
        <s v="2026-03-07 12:00:00"/>
        <s v="2026-03-07 13:00:00"/>
        <s v="2026-03-07 14:00:00"/>
        <s v="2026-03-07 15:00:00"/>
        <s v="2026-03-07 16:00:00"/>
        <s v="2026-03-07 17:00:00"/>
        <s v="2026-03-07 18:00:00"/>
        <s v="2026-03-07 19:00:00"/>
        <s v="2026-03-07 20:00:00"/>
        <s v="2026-03-07 21:00:00"/>
        <s v="2026-03-07 22:00:00"/>
        <s v="2026-03-07 23:00:00"/>
        <s v="2026-03-08 00:00:00"/>
        <s v="2026-03-08 01:00:00"/>
        <s v="2026-03-08 02:00:00"/>
        <s v="2026-03-08 03:00:00"/>
        <s v="2026-03-08 04:00:00"/>
        <s v="2026-03-08 05:00:00"/>
        <s v="2026-03-08 06:00:00"/>
        <s v="2026-03-08 07:00:00"/>
        <s v="2026-03-08 08:00:00"/>
        <s v="2026-03-08 09:00:00"/>
        <s v="2026-03-08 10:00:00"/>
        <s v="2026-03-08 11:00:00"/>
        <s v="2026-03-08 12:00:00"/>
        <s v="2026-03-08 13:00:00"/>
        <s v="2026-03-08 14:00:00"/>
        <s v="2026-03-08 15:00:00"/>
        <s v="2026-03-08 16:00:00"/>
        <s v="2026-03-08 17:00:00"/>
        <s v="2026-03-08 18:00:00"/>
        <s v="2026-03-08 19:00:00"/>
        <s v="2026-03-08 20:00:00"/>
        <s v="2026-03-08 21:00:00"/>
        <s v="2026-03-08 22:00:00"/>
        <s v="2026-03-08 23:00:00"/>
        <s v="2026-03-09 00:00:00"/>
        <s v="2026-03-09 01:00:00"/>
        <s v="2026-03-09 02:00:00"/>
        <s v="2026-03-09 03:00:00"/>
        <s v="2026-03-09 04:00:00"/>
        <s v="2026-03-09 05:00:00"/>
        <s v="2026-03-09 06:00:00"/>
        <s v="2026-03-09 07:00:00"/>
        <m/>
      </sharedItems>
    </cacheField>
    <cacheField name="End Time" numFmtId="0">
      <sharedItems containsBlank="1"/>
    </cacheField>
    <cacheField name="Granularity" numFmtId="0">
      <sharedItems containsBlank="1"/>
    </cacheField>
    <cacheField name="SubnetWork ID" numFmtId="0">
      <sharedItems containsBlank="1"/>
    </cacheField>
    <cacheField name="SubnetWork Name" numFmtId="0">
      <sharedItems containsBlank="1"/>
    </cacheField>
    <cacheField name="ManagedElement ID" numFmtId="0">
      <sharedItems containsBlank="1"/>
    </cacheField>
    <cacheField name="RNC Managed NE" numFmtId="0">
      <sharedItems containsBlank="1"/>
    </cacheField>
    <cacheField name="NodeB ID" numFmtId="0">
      <sharedItems containsBlank="1"/>
    </cacheField>
    <cacheField name="NodeB Name" numFmtId="0">
      <sharedItems containsBlank="1" count="8">
        <s v="CTR_468_Z_Messassi-MTN-IHS"/>
        <s v="CTR_599_Z_Emana-Pont-IHS"/>
        <s v="CTR_900_Z_Messasi-crf-fouda"/>
        <s v="CTR_269_Z_Ekounou-PJ"/>
        <s v="CTR_535_Z_Montee-Kondengui-MTN-IHS"/>
        <s v="CTR_1057_Z_Labogenie"/>
        <s v="CTR_726_Z_Ekounou-Lycee-MTN"/>
        <m/>
      </sharedItems>
    </cacheField>
    <cacheField name="Avaibility" numFmtId="0">
      <sharedItems containsString="0" containsBlank="1" containsNumber="1" minValue="17.86" maxValue="100"/>
    </cacheField>
    <cacheField name="ORA_3G_Cell Availability, excluding BLU (%)" numFmtId="0">
      <sharedItems containsString="0" containsBlank="1" containsNumber="1" minValue="0.17860000000000001" maxValue="1"/>
    </cacheField>
    <cacheField name="ORA_3G_CS Voice Traffic (Erl)" numFmtId="0">
      <sharedItems containsString="0" containsBlank="1" containsNumber="1" minValue="0.33" maxValue="80.63"/>
    </cacheField>
    <cacheField name="ORA_3G_Traffic Total Data_MAC (GB)" numFmtId="0">
      <sharedItems containsString="0" containsBlank="1" containsNumber="1" minValue="0.46089999999999998" maxValue="7.1200999999999999"/>
    </cacheField>
    <cacheField name="ORA_3G_CSSR CS with Cell PCH/URA PCH (%)" numFmtId="0">
      <sharedItems containsString="0" containsBlank="1" containsNumber="1" minValue="94.38" maxValue="100"/>
    </cacheField>
    <cacheField name="ORA_3G_CSSR_PS_with_Cell_PCH (%)" numFmtId="0">
      <sharedItems containsString="0" containsBlank="1" containsNumber="1" minValue="97.21" maxValue="99.99"/>
    </cacheField>
    <cacheField name="ORA_3G_Call Setup Success Rate - HSDPA data (%)" numFmtId="0">
      <sharedItems containsString="0" containsBlank="1" containsNumber="1" minValue="0.97199999999999998" maxValue="0.99990000000000001"/>
    </cacheField>
    <cacheField name="ORA_3G_Call Setup Success Rate - HSUPA data (%)" numFmtId="0">
      <sharedItems containsString="0" containsBlank="1" containsNumber="1" minValue="0.97230000000000005" maxValue="0.99990000000000001"/>
    </cacheField>
    <cacheField name="ORA_3G_Drop Call Rate CS(%)" numFmtId="0">
      <sharedItems containsString="0" containsBlank="1" containsNumber="1" minValue="0" maxValue="13.36"/>
    </cacheField>
    <cacheField name="ORA_3G_Call Drop Data All Services(%)" numFmtId="0">
      <sharedItems containsString="0" containsBlank="1" containsNumber="1" minValue="0" maxValue="100"/>
    </cacheField>
    <cacheField name="Number of failed RAB assignment setup for the CS domain due to Node B causes" numFmtId="0">
      <sharedItems containsString="0" containsBlank="1" containsNumber="1" containsInteger="1" minValue="0" maxValue="12"/>
    </cacheField>
    <cacheField name="Number of failed RAB assignment setup for the CS domain due to downlink power resource congestion" numFmtId="0">
      <sharedItems containsString="0" containsBlank="1" containsNumber="1" containsInteger="1" minValue="0" maxValue="0"/>
    </cacheField>
    <cacheField name="Number of failed RAB assignment setup for the CS domain due to downlink CE congestion" numFmtId="0">
      <sharedItems containsString="0" containsBlank="1" containsNumber="1" containsInteger="1" minValue="0" maxValue="0"/>
    </cacheField>
    <cacheField name="Number of failed RAB assignment setup for the CS domain due to code resource congestion" numFmtId="0">
      <sharedItems containsString="0" containsBlank="1" containsNumber="1" containsInteger="1" minValue="0" maxValue="1"/>
    </cacheField>
    <cacheField name="Average Cell TCP Utilization Ratio(%)" numFmtId="0">
      <sharedItems containsString="0" containsBlank="1" containsNumber="1" minValue="9.0499999999999997E-2" maxValue="0.81120000000000003"/>
    </cacheField>
    <cacheField name="Cell Average RACH Utilization(%)" numFmtId="0">
      <sharedItems containsString="0" containsBlank="1" containsNumber="1" minValue="5.2600000000000001E-2" maxValue="1"/>
    </cacheField>
    <cacheField name="ORA_3G_Average CPICH ECNO (%)" numFmtId="0">
      <sharedItems containsString="0" containsBlank="1" containsNumber="1" minValue="-12.64" maxValue="-3.91"/>
    </cacheField>
    <cacheField name="ORA_3G_Average RTWP (dBm)" numFmtId="0">
      <sharedItems containsString="0" containsBlank="1" containsNumber="1" minValue="-103.36" maxValue="-90.46"/>
    </cacheField>
    <cacheField name="ORA_3G_Soft HO Success rate(%)" numFmtId="0">
      <sharedItems containsString="0" containsBlank="1" containsNumber="1" minValue="0.97009999999999996" maxValue="1"/>
    </cacheField>
    <cacheField name="ORA_3G_to_2G_Handover-Success_Rate-Speech_New" numFmtId="0">
      <sharedItems containsString="0" containsBlank="1" containsNumber="1" minValue="0" maxValue="100"/>
    </cacheField>
    <cacheField name="ORA_3G_IFHO SR (%)" numFmtId="0">
      <sharedItems containsString="0" containsBlank="1" containsNumber="1" minValue="0" maxValue="1"/>
    </cacheField>
    <cacheField name="UL Bler for DCH(%)" numFmtId="0">
      <sharedItems containsString="0" containsBlank="1" containsNumber="1" minValue="8.9999999999999998E-4" maxValue="9.7000000000000003E-3"/>
    </cacheField>
    <cacheField name="frame_loss_rate" numFmtId="0">
      <sharedItems containsString="0" containsBlank="1" containsNumber="1" minValue="0" maxValue="8.7499999999999994E-2"/>
    </cacheField>
    <cacheField name="REC_3G_NB_RAB_FAILURE_CAUSE_BTS" numFmtId="0">
      <sharedItems containsString="0" containsBlank="1" containsNumber="1" containsInteger="1" minValue="0" maxValue="0"/>
    </cacheField>
    <cacheField name="REC_3G_NB_RAB_FAILURE_CAUSE_IUB" numFmtId="0">
      <sharedItems containsString="0" containsBlank="1" containsNumber="1" containsInteger="1" minValue="0" maxValue="0"/>
    </cacheField>
    <cacheField name="Number of RRC connection re-establishment attempts" numFmtId="0">
      <sharedItems containsString="0" containsBlank="1" containsNumber="1" containsInteger="1" minValue="0" maxValue="183"/>
    </cacheField>
    <cacheField name="Success Ratio of Paging Message Sending for Cell Level(%)" numFmtId="0">
      <sharedItems containsString="0" containsBlank="1" containsNumber="1" minValue="0.99950000000000006" maxValue="1"/>
    </cacheField>
    <cacheField name="3G_Downtime_Combine (en s)" numFmtId="0">
      <sharedItems containsString="0" containsBlank="1" containsNumber="1" containsInteger="1" minValue="789501600" maxValue="789519343"/>
    </cacheField>
    <cacheField name="OCM_3G Active users" numFmtId="0">
      <sharedItems containsString="0" containsBlank="1" containsNumber="1" minValue="7.0816999999999997" maxValue="115.5617"/>
    </cacheField>
    <cacheField name="Average UL HSUPA RAB throughput(KByte/s)" numFmtId="0">
      <sharedItems containsString="0" containsBlank="1" containsNumber="1" minValue="30.347799999999999" maxValue="500.73160000000001"/>
    </cacheField>
    <cacheField name="Average DL HSDPA RAB throughput(KByte/s)" numFmtId="0">
      <sharedItems containsString="0" containsBlank="1" containsNumber="1" minValue="85.643299999999996" maxValue="1678.0092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">
  <r>
    <x v="0"/>
    <s v="2026-03-07 08:00:00"/>
    <s v="1 hour"/>
    <s v="373"/>
    <s v="RNC_ZTE_Messamendongo(373)"/>
    <s v="373"/>
    <s v="RNC_ZTE_Messamendongo(373)"/>
    <s v="10468"/>
    <x v="0"/>
    <n v="100"/>
    <n v="1"/>
    <n v="27.37"/>
    <n v="3.8283"/>
    <n v="99.82"/>
    <n v="99.86"/>
    <n v="0.99860000000000004"/>
    <n v="0.99870000000000003"/>
    <n v="0"/>
    <n v="6.9999999999999993E-2"/>
    <n v="0"/>
    <n v="0"/>
    <n v="0"/>
    <n v="0"/>
    <n v="0.42770000000000002"/>
    <n v="0.1915"/>
    <n v="-9.9"/>
    <n v="-98.33"/>
    <n v="0.99919999999999998"/>
    <n v="100"/>
    <n v="1"/>
    <n v="1E-3"/>
    <n v="6.9999999999999999E-4"/>
    <n v="0"/>
    <n v="0"/>
    <n v="25"/>
    <n v="0.99990000000000001"/>
    <n v="789501600"/>
    <n v="42.79"/>
    <n v="232.14760000000001"/>
    <n v="858.78899999999999"/>
  </r>
  <r>
    <x v="0"/>
    <s v="2026-03-07 08:00:00"/>
    <s v="1 hour"/>
    <s v="373"/>
    <s v="RNC_ZTE_Messamendongo(373)"/>
    <s v="373"/>
    <s v="RNC_ZTE_Messamendongo(373)"/>
    <s v="10599"/>
    <x v="1"/>
    <n v="100"/>
    <n v="1"/>
    <n v="22.78"/>
    <n v="1.9044000000000001"/>
    <n v="99.7"/>
    <n v="99.72999999999999"/>
    <n v="0.99739999999999995"/>
    <n v="0.99729999999999996"/>
    <n v="0"/>
    <n v="6.9999999999999993E-2"/>
    <n v="0"/>
    <n v="0"/>
    <n v="0"/>
    <n v="0"/>
    <n v="0.2535"/>
    <n v="9.1499999999999998E-2"/>
    <n v="-8.41"/>
    <n v="-99.64"/>
    <n v="0.99960000000000004"/>
    <m/>
    <n v="1"/>
    <n v="1.1000000000000001E-3"/>
    <n v="2.0000000000000001E-4"/>
    <n v="0"/>
    <n v="0"/>
    <n v="59"/>
    <n v="0.99990000000000001"/>
    <n v="789501600"/>
    <n v="28.65"/>
    <n v="152.1705"/>
    <n v="404.48410000000001"/>
  </r>
  <r>
    <x v="0"/>
    <s v="2026-03-07 08:00:00"/>
    <s v="1 hour"/>
    <s v="373"/>
    <s v="RNC_ZTE_Messamendongo(373)"/>
    <s v="373"/>
    <s v="RNC_ZTE_Messamendongo(373)"/>
    <s v="10900"/>
    <x v="2"/>
    <n v="100"/>
    <n v="1"/>
    <n v="22.74"/>
    <n v="2.8262"/>
    <n v="99.77000000000001"/>
    <n v="99.850000000000009"/>
    <n v="0.99850000000000005"/>
    <n v="0.99850000000000005"/>
    <n v="6.9999999999999993E-2"/>
    <n v="0.06"/>
    <n v="0"/>
    <n v="0"/>
    <n v="0"/>
    <n v="0"/>
    <n v="0.38250000000000001"/>
    <n v="0.15609999999999999"/>
    <n v="-8.58"/>
    <n v="-98.68"/>
    <n v="0.99919999999999998"/>
    <n v="90"/>
    <n v="0.92979999999999996"/>
    <n v="1.1000000000000001E-3"/>
    <n v="2.0000000000000001E-4"/>
    <n v="0"/>
    <n v="0"/>
    <n v="17"/>
    <n v="0.99970000000000003"/>
    <n v="789501600"/>
    <n v="33.793399999999998"/>
    <n v="142.08770000000001"/>
    <n v="660.85500000000002"/>
  </r>
  <r>
    <x v="0"/>
    <s v="2026-03-07 08:00:00"/>
    <s v="1 hour"/>
    <s v="374"/>
    <s v="RNC_ZTE_Mvogada_new(374)"/>
    <s v="374"/>
    <s v="RNC_ZTE_Mvogada_new(374)"/>
    <s v="10269"/>
    <x v="3"/>
    <n v="100"/>
    <n v="1"/>
    <n v="55.84"/>
    <n v="5.4776999999999996"/>
    <n v="99.74"/>
    <n v="99.83"/>
    <n v="0.99819999999999998"/>
    <n v="0.99819999999999998"/>
    <n v="0.09"/>
    <n v="0.09"/>
    <n v="0"/>
    <n v="0"/>
    <n v="0"/>
    <n v="0"/>
    <n v="0.63270000000000004"/>
    <n v="0.50800000000000001"/>
    <n v="-11.76"/>
    <n v="-96.79"/>
    <n v="0.99950000000000006"/>
    <n v="75"/>
    <n v="0.85709999999999997"/>
    <n v="1.6999999999999999E-3"/>
    <n v="2.2000000000000001E-3"/>
    <n v="0"/>
    <n v="0"/>
    <n v="82"/>
    <n v="0.99990000000000001"/>
    <n v="789501600"/>
    <n v="81.006699999999995"/>
    <n v="398.83969999999999"/>
    <n v="1165.3182999999999"/>
  </r>
  <r>
    <x v="0"/>
    <s v="2026-03-07 08:00:00"/>
    <s v="1 hour"/>
    <s v="374"/>
    <s v="RNC_ZTE_Mvogada_new(374)"/>
    <s v="374"/>
    <s v="RNC_ZTE_Mvogada_new(374)"/>
    <s v="10535"/>
    <x v="4"/>
    <n v="100"/>
    <n v="1"/>
    <n v="32.03"/>
    <n v="3.3048000000000002"/>
    <n v="99.72999999999999"/>
    <n v="99.94"/>
    <n v="0.99939999999999996"/>
    <n v="0.99939999999999996"/>
    <n v="0"/>
    <n v="0.05"/>
    <n v="0"/>
    <n v="0"/>
    <n v="0"/>
    <n v="0"/>
    <n v="0.52510000000000001"/>
    <n v="0.32790000000000002"/>
    <n v="-10.210000000000001"/>
    <n v="-97.84"/>
    <n v="0.99970000000000003"/>
    <m/>
    <n v="1"/>
    <n v="2.2000000000000001E-3"/>
    <n v="3.8E-3"/>
    <n v="0"/>
    <n v="0"/>
    <n v="28"/>
    <n v="1"/>
    <n v="789501600"/>
    <n v="48.419899999999998"/>
    <n v="210.56970000000001"/>
    <n v="727.05150000000003"/>
  </r>
  <r>
    <x v="0"/>
    <s v="2026-03-07 08:00:00"/>
    <s v="1 hour"/>
    <s v="374"/>
    <s v="RNC_ZTE_Mvogada_new(374)"/>
    <s v="374"/>
    <s v="RNC_ZTE_Mvogada_new(374)"/>
    <s v="1057"/>
    <x v="5"/>
    <n v="100"/>
    <n v="1"/>
    <n v="38.36"/>
    <n v="3.5059999999999998"/>
    <n v="99.77000000000001"/>
    <n v="99.74"/>
    <n v="0.99739999999999995"/>
    <n v="0.99750000000000005"/>
    <n v="0"/>
    <n v="0.05"/>
    <n v="0"/>
    <n v="0"/>
    <n v="0"/>
    <n v="0"/>
    <n v="0.48110000000000003"/>
    <n v="0.3427"/>
    <n v="-9.2799999999999994"/>
    <n v="-96.62"/>
    <n v="0.99980000000000002"/>
    <m/>
    <n v="0.875"/>
    <n v="2.3E-3"/>
    <n v="8.0999999999999996E-3"/>
    <n v="0"/>
    <n v="0"/>
    <n v="31"/>
    <n v="1"/>
    <n v="789501600"/>
    <n v="49.561700000000002"/>
    <n v="220.7432"/>
    <n v="761.68219999999997"/>
  </r>
  <r>
    <x v="0"/>
    <s v="2026-03-07 08:00:00"/>
    <s v="1 hour"/>
    <s v="374"/>
    <s v="RNC_ZTE_Mvogada_new(374)"/>
    <s v="374"/>
    <s v="RNC_ZTE_Mvogada_new(374)"/>
    <s v="10726"/>
    <x v="6"/>
    <n v="100"/>
    <n v="1"/>
    <n v="31.24"/>
    <n v="3.9597000000000002"/>
    <n v="99.960000000000008"/>
    <n v="99.92"/>
    <n v="0.99919999999999998"/>
    <n v="0.99919999999999998"/>
    <n v="0.05"/>
    <n v="0.04"/>
    <n v="0"/>
    <n v="0"/>
    <n v="0"/>
    <n v="0"/>
    <n v="0.45"/>
    <n v="0.29820000000000002"/>
    <n v="-9.27"/>
    <n v="-101.06"/>
    <n v="0.99970000000000003"/>
    <m/>
    <n v="0.85709999999999997"/>
    <n v="1.1999999999999999E-3"/>
    <n v="1E-4"/>
    <n v="0"/>
    <n v="0"/>
    <n v="29"/>
    <n v="1"/>
    <n v="789501600"/>
    <n v="46.861699999999999"/>
    <n v="248.1634"/>
    <n v="858.9855"/>
  </r>
  <r>
    <x v="1"/>
    <s v="2026-03-07 09:00:00"/>
    <s v="1 hour"/>
    <s v="373"/>
    <s v="RNC_ZTE_Messamendongo(373)"/>
    <s v="373"/>
    <s v="RNC_ZTE_Messamendongo(373)"/>
    <s v="10468"/>
    <x v="0"/>
    <n v="100"/>
    <n v="1"/>
    <n v="38.590000000000003"/>
    <n v="4.6124000000000001"/>
    <n v="99.82"/>
    <n v="99.89"/>
    <n v="0.99890000000000001"/>
    <n v="0.999"/>
    <n v="0.09"/>
    <n v="0.11"/>
    <n v="0"/>
    <n v="0"/>
    <n v="0"/>
    <n v="0"/>
    <n v="0.48649999999999999"/>
    <n v="0.1903"/>
    <n v="-10.52"/>
    <n v="-97.05"/>
    <n v="0.99950000000000006"/>
    <n v="100"/>
    <n v="0.84619999999999995"/>
    <n v="1.1999999999999999E-3"/>
    <n v="8.0000000000000004E-4"/>
    <n v="0"/>
    <n v="0"/>
    <n v="34"/>
    <n v="0.99990000000000001"/>
    <n v="789501600"/>
    <n v="50.203299999999999"/>
    <n v="281.75959999999998"/>
    <n v="1031.6973"/>
  </r>
  <r>
    <x v="1"/>
    <s v="2026-03-07 09:00:00"/>
    <s v="1 hour"/>
    <s v="373"/>
    <s v="RNC_ZTE_Messamendongo(373)"/>
    <s v="373"/>
    <s v="RNC_ZTE_Messamendongo(373)"/>
    <s v="10599"/>
    <x v="1"/>
    <n v="100"/>
    <n v="1"/>
    <n v="26.44"/>
    <n v="2.7323"/>
    <n v="99.660000000000011"/>
    <n v="99.71"/>
    <n v="0.997"/>
    <n v="0.99709999999999999"/>
    <n v="0.13999999999999999"/>
    <n v="0.08"/>
    <n v="0"/>
    <n v="0"/>
    <n v="0"/>
    <n v="0"/>
    <n v="0.32579999999999998"/>
    <n v="0.1048"/>
    <n v="-9.25"/>
    <n v="-99.19"/>
    <n v="0.99950000000000006"/>
    <n v="100"/>
    <n v="0.6"/>
    <n v="1.5E-3"/>
    <n v="6.9999999999999999E-4"/>
    <n v="0"/>
    <n v="0"/>
    <n v="57"/>
    <n v="0.99990000000000001"/>
    <n v="789501600"/>
    <n v="31.705100000000002"/>
    <n v="132.2218"/>
    <n v="657.99670000000003"/>
  </r>
  <r>
    <x v="1"/>
    <s v="2026-03-07 09:00:00"/>
    <s v="1 hour"/>
    <s v="373"/>
    <s v="RNC_ZTE_Messamendongo(373)"/>
    <s v="373"/>
    <s v="RNC_ZTE_Messamendongo(373)"/>
    <s v="10900"/>
    <x v="2"/>
    <n v="100"/>
    <n v="1"/>
    <n v="31.47"/>
    <n v="3.8168000000000002"/>
    <n v="99.72999999999999"/>
    <n v="99.79"/>
    <n v="0.99790000000000001"/>
    <n v="0.99790000000000001"/>
    <n v="0.19"/>
    <n v="0.1"/>
    <n v="0"/>
    <n v="0"/>
    <n v="0"/>
    <n v="0"/>
    <n v="0.50770000000000004"/>
    <n v="0.1454"/>
    <n v="-9.5299999999999994"/>
    <n v="-97.41"/>
    <n v="0.99950000000000006"/>
    <n v="80"/>
    <n v="0.93879999999999997"/>
    <n v="1.4E-3"/>
    <n v="6.4000000000000003E-3"/>
    <n v="0"/>
    <n v="0"/>
    <n v="31"/>
    <n v="0.99960000000000004"/>
    <n v="789501600"/>
    <n v="39.588299999999997"/>
    <n v="266.05990000000003"/>
    <n v="795.64380000000006"/>
  </r>
  <r>
    <x v="1"/>
    <s v="2026-03-07 09:00:00"/>
    <s v="1 hour"/>
    <s v="374"/>
    <s v="RNC_ZTE_Mvogada_new(374)"/>
    <s v="374"/>
    <s v="RNC_ZTE_Mvogada_new(374)"/>
    <s v="10269"/>
    <x v="3"/>
    <n v="100"/>
    <n v="1"/>
    <n v="79.680000000000007"/>
    <n v="4.9427000000000003"/>
    <n v="99.71"/>
    <n v="99.88"/>
    <n v="0.99880000000000002"/>
    <n v="0.99880000000000002"/>
    <n v="6.9999999999999993E-2"/>
    <n v="0.08"/>
    <n v="0"/>
    <n v="0"/>
    <n v="0"/>
    <n v="0"/>
    <n v="0.61890000000000001"/>
    <n v="0.51670000000000005"/>
    <n v="-11.67"/>
    <n v="-95.18"/>
    <n v="0.99939999999999996"/>
    <n v="100"/>
    <n v="1"/>
    <n v="1.8E-3"/>
    <n v="1.9E-3"/>
    <n v="0"/>
    <n v="0"/>
    <n v="81"/>
    <n v="0.99990000000000001"/>
    <n v="789501600"/>
    <n v="93.993300000000005"/>
    <n v="395.90190000000001"/>
    <n v="1019.6292999999999"/>
  </r>
  <r>
    <x v="1"/>
    <s v="2026-03-07 09:00:00"/>
    <s v="1 hour"/>
    <s v="374"/>
    <s v="RNC_ZTE_Mvogada_new(374)"/>
    <s v="374"/>
    <s v="RNC_ZTE_Mvogada_new(374)"/>
    <s v="10535"/>
    <x v="4"/>
    <n v="100"/>
    <n v="1"/>
    <n v="39.83"/>
    <n v="3.4672000000000001"/>
    <n v="99.83"/>
    <n v="99.839999999999989"/>
    <n v="0.99839999999999995"/>
    <n v="0.99890000000000001"/>
    <n v="0"/>
    <n v="0.05"/>
    <n v="0"/>
    <n v="0"/>
    <n v="0"/>
    <n v="0"/>
    <n v="0.55700000000000005"/>
    <n v="0.3175"/>
    <n v="-10.73"/>
    <n v="-96.83"/>
    <n v="0.99970000000000003"/>
    <m/>
    <n v="1"/>
    <n v="2.2000000000000001E-3"/>
    <n v="6.4999999999999997E-3"/>
    <n v="0"/>
    <n v="0"/>
    <n v="41"/>
    <n v="1"/>
    <n v="789501600"/>
    <n v="51.938400000000001"/>
    <n v="215.83160000000001"/>
    <n v="767.28390000000002"/>
  </r>
  <r>
    <x v="1"/>
    <s v="2026-03-07 09:00:00"/>
    <s v="1 hour"/>
    <s v="374"/>
    <s v="RNC_ZTE_Mvogada_new(374)"/>
    <s v="374"/>
    <s v="RNC_ZTE_Mvogada_new(374)"/>
    <s v="1057"/>
    <x v="5"/>
    <n v="100"/>
    <n v="1"/>
    <n v="60.29"/>
    <n v="3.8363"/>
    <n v="99.65"/>
    <n v="99.92"/>
    <n v="0.99919999999999998"/>
    <n v="0.99929999999999997"/>
    <n v="0"/>
    <n v="6.9999999999999993E-2"/>
    <n v="0"/>
    <n v="0"/>
    <n v="0"/>
    <n v="0"/>
    <n v="0.56179999999999997"/>
    <n v="0.38109999999999999"/>
    <n v="-10.1"/>
    <n v="-94.82"/>
    <n v="0.99970000000000003"/>
    <m/>
    <n v="0.97440000000000004"/>
    <n v="2.8999999999999998E-3"/>
    <n v="8.3999999999999995E-3"/>
    <n v="0"/>
    <n v="0"/>
    <n v="33"/>
    <n v="1"/>
    <n v="789501600"/>
    <n v="66.421700000000001"/>
    <n v="256.61450000000002"/>
    <n v="828.09780000000001"/>
  </r>
  <r>
    <x v="1"/>
    <s v="2026-03-07 09:00:00"/>
    <s v="1 hour"/>
    <s v="374"/>
    <s v="RNC_ZTE_Mvogada_new(374)"/>
    <s v="374"/>
    <s v="RNC_ZTE_Mvogada_new(374)"/>
    <s v="10726"/>
    <x v="6"/>
    <n v="100"/>
    <n v="1"/>
    <n v="44.62"/>
    <n v="4.8407"/>
    <n v="99.89"/>
    <n v="99.850000000000009"/>
    <n v="0.99850000000000005"/>
    <n v="0.99850000000000005"/>
    <n v="0.08"/>
    <n v="0.05"/>
    <n v="0"/>
    <n v="0"/>
    <n v="0"/>
    <n v="0"/>
    <n v="0.52890000000000004"/>
    <n v="0.38030000000000003"/>
    <n v="-9.91"/>
    <n v="-99.86"/>
    <n v="0.99960000000000004"/>
    <m/>
    <n v="1"/>
    <n v="1.2999999999999999E-3"/>
    <n v="5.0000000000000001E-4"/>
    <n v="0"/>
    <n v="0"/>
    <n v="32"/>
    <n v="1"/>
    <n v="789501600"/>
    <n v="58.066699999999997"/>
    <n v="316.142"/>
    <n v="1042.2067"/>
  </r>
  <r>
    <x v="2"/>
    <s v="2026-03-07 10:00:00"/>
    <s v="1 hour"/>
    <s v="373"/>
    <s v="RNC_ZTE_Messamendongo(373)"/>
    <s v="373"/>
    <s v="RNC_ZTE_Messamendongo(373)"/>
    <s v="10468"/>
    <x v="0"/>
    <n v="100"/>
    <n v="1"/>
    <n v="45.47"/>
    <n v="4.3291000000000004"/>
    <n v="99.62"/>
    <n v="99.72"/>
    <n v="0.99729999999999996"/>
    <n v="0.99770000000000003"/>
    <n v="0.04"/>
    <n v="0.08"/>
    <n v="0"/>
    <n v="0"/>
    <n v="0"/>
    <n v="0"/>
    <n v="0.50129999999999997"/>
    <n v="0.1976"/>
    <n v="-10.53"/>
    <n v="-96.99"/>
    <n v="0.99970000000000003"/>
    <n v="100"/>
    <n v="0.88890000000000002"/>
    <n v="1.1999999999999999E-3"/>
    <n v="2.9999999999999997E-4"/>
    <n v="0"/>
    <n v="0"/>
    <n v="38"/>
    <n v="0.99990000000000001"/>
    <n v="789501600"/>
    <n v="53.945"/>
    <n v="252.8724"/>
    <n v="969.30370000000005"/>
  </r>
  <r>
    <x v="2"/>
    <s v="2026-03-07 10:00:00"/>
    <s v="1 hour"/>
    <s v="373"/>
    <s v="RNC_ZTE_Messamendongo(373)"/>
    <s v="373"/>
    <s v="RNC_ZTE_Messamendongo(373)"/>
    <s v="10599"/>
    <x v="1"/>
    <n v="100"/>
    <n v="1"/>
    <n v="33.42"/>
    <n v="2.0709"/>
    <n v="99.71"/>
    <n v="99.75"/>
    <n v="0.99750000000000005"/>
    <n v="0.99750000000000005"/>
    <n v="0"/>
    <n v="0.09"/>
    <n v="0"/>
    <n v="0"/>
    <n v="0"/>
    <n v="0"/>
    <n v="0.31069999999999998"/>
    <n v="0.11550000000000001"/>
    <n v="-8.9700000000000006"/>
    <n v="-99.01"/>
    <n v="0.99970000000000003"/>
    <m/>
    <n v="1"/>
    <n v="1.2999999999999999E-3"/>
    <n v="1E-4"/>
    <n v="0"/>
    <n v="0"/>
    <n v="42"/>
    <n v="0.99990000000000001"/>
    <n v="789501600"/>
    <n v="36.168300000000002"/>
    <n v="143.72970000000001"/>
    <n v="435.33420000000001"/>
  </r>
  <r>
    <x v="2"/>
    <s v="2026-03-07 10:00:00"/>
    <s v="1 hour"/>
    <s v="373"/>
    <s v="RNC_ZTE_Messamendongo(373)"/>
    <s v="373"/>
    <s v="RNC_ZTE_Messamendongo(373)"/>
    <s v="10900"/>
    <x v="2"/>
    <n v="100"/>
    <n v="1"/>
    <n v="28.34"/>
    <n v="3.1122000000000001"/>
    <n v="99.570000000000007"/>
    <n v="99.69"/>
    <n v="0.99690000000000001"/>
    <n v="0.99690000000000001"/>
    <n v="0.19"/>
    <n v="0.09"/>
    <n v="0"/>
    <n v="0"/>
    <n v="0"/>
    <n v="0"/>
    <n v="0.51690000000000003"/>
    <n v="0.1573"/>
    <n v="-9.83"/>
    <n v="-97.71"/>
    <n v="0.99960000000000004"/>
    <n v="85.71"/>
    <n v="0.9"/>
    <n v="1.5E-3"/>
    <n v="1E-3"/>
    <n v="0"/>
    <n v="0"/>
    <n v="22"/>
    <n v="0.99960000000000004"/>
    <n v="789501600"/>
    <n v="42.263399999999997"/>
    <n v="188.43860000000001"/>
    <n v="694.93150000000003"/>
  </r>
  <r>
    <x v="2"/>
    <s v="2026-03-07 10:00:00"/>
    <s v="1 hour"/>
    <s v="374"/>
    <s v="RNC_ZTE_Mvogada_new(374)"/>
    <s v="374"/>
    <s v="RNC_ZTE_Mvogada_new(374)"/>
    <s v="10269"/>
    <x v="3"/>
    <n v="100"/>
    <n v="1"/>
    <n v="77.75"/>
    <n v="4.6622000000000003"/>
    <n v="99.64"/>
    <n v="99.82"/>
    <n v="0.998"/>
    <n v="0.998"/>
    <n v="0.11"/>
    <n v="0.12"/>
    <n v="0"/>
    <n v="0"/>
    <n v="0"/>
    <n v="0"/>
    <n v="0.60670000000000002"/>
    <n v="0.504"/>
    <n v="-11.71"/>
    <n v="-94.08"/>
    <n v="0.99960000000000004"/>
    <n v="80"/>
    <n v="1"/>
    <n v="2E-3"/>
    <n v="3.8999999999999998E-3"/>
    <n v="0"/>
    <n v="0"/>
    <n v="84"/>
    <n v="0.99990000000000001"/>
    <n v="789501600"/>
    <n v="93.258399999999995"/>
    <n v="450.34719999999999"/>
    <n v="904.64880000000005"/>
  </r>
  <r>
    <x v="2"/>
    <s v="2026-03-07 10:00:00"/>
    <s v="1 hour"/>
    <s v="374"/>
    <s v="RNC_ZTE_Mvogada_new(374)"/>
    <s v="374"/>
    <s v="RNC_ZTE_Mvogada_new(374)"/>
    <s v="10535"/>
    <x v="4"/>
    <n v="100"/>
    <n v="1"/>
    <n v="43.23"/>
    <n v="3.0716999999999999"/>
    <n v="99.67"/>
    <n v="99.839999999999989"/>
    <n v="0.99839999999999995"/>
    <n v="0.99839999999999995"/>
    <n v="0"/>
    <n v="0.1"/>
    <n v="0"/>
    <n v="0"/>
    <n v="0"/>
    <n v="0"/>
    <n v="0.5171"/>
    <n v="0.33579999999999999"/>
    <n v="-10.63"/>
    <n v="-96.38"/>
    <n v="0.99939999999999996"/>
    <m/>
    <n v="1"/>
    <n v="2.2000000000000001E-3"/>
    <n v="5.0000000000000001E-3"/>
    <n v="0"/>
    <n v="0"/>
    <n v="47"/>
    <n v="1"/>
    <n v="789501600"/>
    <n v="57.395000000000003"/>
    <n v="246.24039999999999"/>
    <n v="627.88350000000003"/>
  </r>
  <r>
    <x v="2"/>
    <s v="2026-03-07 10:00:00"/>
    <s v="1 hour"/>
    <s v="374"/>
    <s v="RNC_ZTE_Mvogada_new(374)"/>
    <s v="374"/>
    <s v="RNC_ZTE_Mvogada_new(374)"/>
    <s v="1057"/>
    <x v="5"/>
    <n v="100"/>
    <n v="1"/>
    <n v="73.05"/>
    <n v="4.7336"/>
    <n v="99.89"/>
    <n v="99.83"/>
    <n v="0.99829999999999997"/>
    <n v="0.99829999999999997"/>
    <n v="0.08"/>
    <n v="0.08"/>
    <n v="0"/>
    <n v="0"/>
    <n v="0"/>
    <n v="0"/>
    <n v="0.6512"/>
    <n v="0.45679999999999998"/>
    <n v="-10.72"/>
    <n v="-93.95"/>
    <n v="0.99970000000000003"/>
    <m/>
    <n v="0.96970000000000001"/>
    <n v="3.0000000000000001E-3"/>
    <n v="9.7000000000000003E-3"/>
    <n v="0"/>
    <n v="0"/>
    <n v="37"/>
    <n v="1"/>
    <n v="789501600"/>
    <n v="77.506600000000006"/>
    <n v="307.12580000000003"/>
    <n v="1019.7808"/>
  </r>
  <r>
    <x v="2"/>
    <s v="2026-03-07 10:00:00"/>
    <s v="1 hour"/>
    <s v="374"/>
    <s v="RNC_ZTE_Mvogada_new(374)"/>
    <s v="374"/>
    <s v="RNC_ZTE_Mvogada_new(374)"/>
    <s v="10726"/>
    <x v="6"/>
    <n v="100"/>
    <n v="1"/>
    <n v="51.39"/>
    <n v="4.7519"/>
    <n v="99.81"/>
    <n v="99.92"/>
    <n v="0.99909999999999999"/>
    <n v="0.99919999999999998"/>
    <n v="6.9999999999999993E-2"/>
    <n v="0.05"/>
    <n v="0"/>
    <n v="0"/>
    <n v="0"/>
    <n v="0"/>
    <n v="0.53149999999999997"/>
    <n v="0.37940000000000002"/>
    <n v="-9.9499999999999993"/>
    <n v="-99.59"/>
    <n v="0.99980000000000002"/>
    <m/>
    <n v="0.88890000000000002"/>
    <n v="1.4E-3"/>
    <n v="4.0000000000000002E-4"/>
    <n v="0"/>
    <n v="0"/>
    <n v="37"/>
    <n v="1"/>
    <n v="789501600"/>
    <n v="62.8033"/>
    <n v="349.73"/>
    <n v="970.7038"/>
  </r>
  <r>
    <x v="3"/>
    <s v="2026-03-07 11:00:00"/>
    <s v="1 hour"/>
    <s v="373"/>
    <s v="RNC_ZTE_Messamendongo(373)"/>
    <s v="373"/>
    <s v="RNC_ZTE_Messamendongo(373)"/>
    <s v="10468"/>
    <x v="0"/>
    <n v="100"/>
    <n v="1"/>
    <n v="42.35"/>
    <n v="4.0217999999999998"/>
    <n v="99.77000000000001"/>
    <n v="99.76"/>
    <n v="0.99760000000000004"/>
    <n v="0.99760000000000004"/>
    <n v="6.9999999999999993E-2"/>
    <n v="6.9999999999999993E-2"/>
    <n v="0"/>
    <n v="0"/>
    <n v="0"/>
    <n v="0"/>
    <n v="0.49680000000000002"/>
    <n v="0.2079"/>
    <n v="-10.64"/>
    <n v="-97.31"/>
    <n v="0.99980000000000002"/>
    <n v="66.67"/>
    <n v="1"/>
    <n v="1.4E-3"/>
    <n v="4.0000000000000002E-4"/>
    <n v="0"/>
    <n v="0"/>
    <n v="37"/>
    <n v="0.99990000000000001"/>
    <n v="789501600"/>
    <n v="54.703299999999999"/>
    <n v="219.49289999999999"/>
    <n v="926.53959999999995"/>
  </r>
  <r>
    <x v="3"/>
    <s v="2026-03-07 11:00:00"/>
    <s v="1 hour"/>
    <s v="373"/>
    <s v="RNC_ZTE_Messamendongo(373)"/>
    <s v="373"/>
    <s v="RNC_ZTE_Messamendongo(373)"/>
    <s v="10599"/>
    <x v="1"/>
    <n v="100"/>
    <n v="1"/>
    <n v="29.56"/>
    <n v="2.6985999999999999"/>
    <n v="99.89"/>
    <n v="99.850000000000009"/>
    <n v="0.99850000000000005"/>
    <n v="0.99850000000000005"/>
    <n v="0.06"/>
    <n v="0.12"/>
    <n v="0"/>
    <n v="0"/>
    <n v="0"/>
    <n v="0"/>
    <n v="0.33169999999999999"/>
    <n v="0.11899999999999999"/>
    <n v="-9.26"/>
    <n v="-98.54"/>
    <n v="0.99990000000000001"/>
    <m/>
    <n v="0.8"/>
    <n v="1.5E-3"/>
    <n v="5.0000000000000001E-4"/>
    <n v="0"/>
    <n v="0"/>
    <n v="41"/>
    <n v="0.99990000000000001"/>
    <n v="789501600"/>
    <n v="34.204900000000002"/>
    <n v="144.29660000000001"/>
    <n v="619.58019999999999"/>
  </r>
  <r>
    <x v="3"/>
    <s v="2026-03-07 11:00:00"/>
    <s v="1 hour"/>
    <s v="373"/>
    <s v="RNC_ZTE_Messamendongo(373)"/>
    <s v="373"/>
    <s v="RNC_ZTE_Messamendongo(373)"/>
    <s v="10900"/>
    <x v="2"/>
    <n v="100"/>
    <n v="1"/>
    <n v="30.69"/>
    <n v="3.1758999999999999"/>
    <n v="99.460000000000008"/>
    <n v="99.72999999999999"/>
    <n v="0.99729999999999996"/>
    <n v="0.99729999999999996"/>
    <n v="0.18"/>
    <n v="6.9999999999999993E-2"/>
    <n v="0"/>
    <n v="0"/>
    <n v="0"/>
    <n v="0"/>
    <n v="0.48409999999999997"/>
    <n v="0.17510000000000001"/>
    <n v="-9.5299999999999994"/>
    <n v="-98"/>
    <n v="0.99980000000000002"/>
    <n v="94.12"/>
    <n v="0.95520000000000005"/>
    <n v="1.4E-3"/>
    <n v="1.1999999999999999E-3"/>
    <n v="0"/>
    <n v="0"/>
    <n v="47"/>
    <n v="0.99970000000000003"/>
    <n v="789501600"/>
    <n v="45.523299999999999"/>
    <n v="197.61879999999999"/>
    <n v="708.51490000000001"/>
  </r>
  <r>
    <x v="3"/>
    <s v="2026-03-07 11:00:00"/>
    <s v="1 hour"/>
    <s v="374"/>
    <s v="RNC_ZTE_Mvogada_new(374)"/>
    <s v="374"/>
    <s v="RNC_ZTE_Mvogada_new(374)"/>
    <s v="10269"/>
    <x v="3"/>
    <n v="100"/>
    <n v="1"/>
    <n v="65.209999999999994"/>
    <n v="4.7012"/>
    <n v="99.69"/>
    <n v="99.78"/>
    <n v="0.99780000000000002"/>
    <n v="0.99770000000000003"/>
    <n v="0.05"/>
    <n v="0.09"/>
    <n v="0"/>
    <n v="0"/>
    <n v="0"/>
    <n v="0"/>
    <n v="0.63819999999999999"/>
    <n v="0.49990000000000001"/>
    <n v="-11.9"/>
    <n v="-94.36"/>
    <n v="0.99950000000000006"/>
    <n v="85.71"/>
    <n v="0.66669999999999996"/>
    <n v="2.0999999999999999E-3"/>
    <n v="2.0999999999999999E-3"/>
    <n v="0"/>
    <n v="0"/>
    <n v="88"/>
    <n v="0.99990000000000001"/>
    <n v="789501600"/>
    <n v="91.41"/>
    <n v="374.21120000000002"/>
    <n v="966.14580000000001"/>
  </r>
  <r>
    <x v="3"/>
    <s v="2026-03-07 11:00:00"/>
    <s v="1 hour"/>
    <s v="374"/>
    <s v="RNC_ZTE_Mvogada_new(374)"/>
    <s v="374"/>
    <s v="RNC_ZTE_Mvogada_new(374)"/>
    <s v="10535"/>
    <x v="4"/>
    <n v="100"/>
    <n v="1"/>
    <n v="39.64"/>
    <n v="3.6337000000000002"/>
    <n v="99.72999999999999"/>
    <n v="99.89"/>
    <n v="0.99890000000000001"/>
    <n v="0.999"/>
    <n v="0.05"/>
    <n v="0.06"/>
    <n v="0"/>
    <n v="0"/>
    <n v="0"/>
    <n v="0"/>
    <n v="0.52790000000000004"/>
    <n v="0.33339999999999997"/>
    <n v="-10.43"/>
    <n v="-96.29"/>
    <n v="0.99980000000000002"/>
    <m/>
    <n v="1"/>
    <n v="2.3999999999999998E-3"/>
    <n v="6.1000000000000004E-3"/>
    <n v="0"/>
    <n v="0"/>
    <n v="34"/>
    <n v="1"/>
    <n v="789501600"/>
    <n v="51.664999999999999"/>
    <n v="269.0609"/>
    <n v="754.07410000000004"/>
  </r>
  <r>
    <x v="3"/>
    <s v="2026-03-07 11:00:00"/>
    <s v="1 hour"/>
    <s v="374"/>
    <s v="RNC_ZTE_Mvogada_new(374)"/>
    <s v="374"/>
    <s v="RNC_ZTE_Mvogada_new(374)"/>
    <s v="1057"/>
    <x v="5"/>
    <n v="100"/>
    <n v="1"/>
    <n v="76.2"/>
    <n v="5.2934999999999999"/>
    <n v="99.72999999999999"/>
    <n v="99.79"/>
    <n v="0.99790000000000001"/>
    <n v="0.998"/>
    <n v="0.04"/>
    <n v="6.9999999999999993E-2"/>
    <n v="0"/>
    <n v="0"/>
    <n v="0"/>
    <n v="0"/>
    <n v="0.7248"/>
    <n v="0.48809999999999998"/>
    <n v="-11.17"/>
    <n v="-92.91"/>
    <n v="0.99970000000000003"/>
    <m/>
    <n v="0.91669999999999996"/>
    <n v="3.3E-3"/>
    <n v="9.4999999999999998E-3"/>
    <n v="0"/>
    <n v="0"/>
    <n v="35"/>
    <n v="1"/>
    <n v="789501600"/>
    <n v="86.4833"/>
    <n v="374.71300000000002"/>
    <n v="1099.088"/>
  </r>
  <r>
    <x v="3"/>
    <s v="2026-03-07 11:00:00"/>
    <s v="1 hour"/>
    <s v="374"/>
    <s v="RNC_ZTE_Mvogada_new(374)"/>
    <s v="374"/>
    <s v="RNC_ZTE_Mvogada_new(374)"/>
    <s v="10726"/>
    <x v="6"/>
    <n v="100"/>
    <n v="1"/>
    <n v="46.71"/>
    <n v="4.4932999999999996"/>
    <n v="99.67"/>
    <n v="99.91"/>
    <n v="0.99909999999999999"/>
    <n v="0.99919999999999998"/>
    <n v="0.04"/>
    <n v="0.05"/>
    <n v="0"/>
    <n v="0"/>
    <n v="0"/>
    <n v="0"/>
    <n v="0.5282"/>
    <n v="0.35270000000000001"/>
    <n v="-10.039999999999999"/>
    <n v="-99.68"/>
    <n v="0.99970000000000003"/>
    <m/>
    <n v="0.9"/>
    <n v="1.2999999999999999E-3"/>
    <n v="6.9999999999999999E-4"/>
    <n v="0"/>
    <n v="0"/>
    <n v="32"/>
    <n v="1"/>
    <n v="789501600"/>
    <n v="56.856699999999996"/>
    <n v="275.50819999999999"/>
    <n v="978.91539999999998"/>
  </r>
  <r>
    <x v="4"/>
    <s v="2026-03-07 12:00:00"/>
    <s v="1 hour"/>
    <s v="373"/>
    <s v="RNC_ZTE_Messamendongo(373)"/>
    <s v="373"/>
    <s v="RNC_ZTE_Messamendongo(373)"/>
    <s v="10468"/>
    <x v="0"/>
    <n v="100"/>
    <n v="1"/>
    <n v="44.57"/>
    <n v="4.0179"/>
    <n v="99.81"/>
    <n v="99.7"/>
    <n v="0.99709999999999999"/>
    <n v="0.99709999999999999"/>
    <n v="0.08"/>
    <n v="0.1"/>
    <n v="0"/>
    <n v="0"/>
    <n v="0"/>
    <n v="0"/>
    <n v="0.49580000000000002"/>
    <n v="0.21379999999999999"/>
    <n v="-10.57"/>
    <n v="-97.34"/>
    <n v="0.99990000000000001"/>
    <n v="80"/>
    <n v="1"/>
    <n v="1.4E-3"/>
    <n v="2.9999999999999997E-4"/>
    <n v="0"/>
    <n v="0"/>
    <n v="35"/>
    <n v="0.99990000000000001"/>
    <n v="789501600"/>
    <n v="54.970100000000002"/>
    <n v="241.1875"/>
    <n v="894.13120000000004"/>
  </r>
  <r>
    <x v="4"/>
    <s v="2026-03-07 12:00:00"/>
    <s v="1 hour"/>
    <s v="373"/>
    <s v="RNC_ZTE_Messamendongo(373)"/>
    <s v="373"/>
    <s v="RNC_ZTE_Messamendongo(373)"/>
    <s v="10599"/>
    <x v="1"/>
    <n v="100"/>
    <n v="1"/>
    <n v="28.54"/>
    <n v="2.8841000000000001"/>
    <n v="99.7"/>
    <n v="99.79"/>
    <n v="0.99790000000000001"/>
    <n v="0.99819999999999998"/>
    <n v="0.06"/>
    <n v="0.08"/>
    <n v="0"/>
    <n v="0"/>
    <n v="0"/>
    <n v="0"/>
    <n v="0.34399999999999997"/>
    <n v="0.12330000000000001"/>
    <n v="-9.26"/>
    <n v="-98.72"/>
    <n v="0.99739999999999995"/>
    <m/>
    <n v="0.8"/>
    <n v="1.4E-3"/>
    <n v="1E-4"/>
    <n v="0"/>
    <n v="0"/>
    <n v="44"/>
    <n v="0.99990000000000001"/>
    <n v="789501600"/>
    <n v="35.253399999999999"/>
    <n v="156.1386"/>
    <n v="645.16409999999996"/>
  </r>
  <r>
    <x v="4"/>
    <s v="2026-03-07 12:00:00"/>
    <s v="1 hour"/>
    <s v="373"/>
    <s v="RNC_ZTE_Messamendongo(373)"/>
    <s v="373"/>
    <s v="RNC_ZTE_Messamendongo(373)"/>
    <s v="10900"/>
    <x v="2"/>
    <n v="100"/>
    <n v="1"/>
    <n v="24.49"/>
    <n v="3.1642999999999999"/>
    <n v="99.429999999999993"/>
    <n v="99.75"/>
    <n v="0.99760000000000004"/>
    <n v="0.99780000000000002"/>
    <n v="6.9999999999999993E-2"/>
    <n v="0.09"/>
    <n v="0"/>
    <n v="0"/>
    <n v="0"/>
    <n v="0"/>
    <n v="0.46949999999999997"/>
    <n v="0.16950000000000001"/>
    <n v="-9.48"/>
    <n v="-98.28"/>
    <n v="0.99950000000000006"/>
    <n v="91.67"/>
    <n v="0.92500000000000004"/>
    <n v="1.1999999999999999E-3"/>
    <n v="1E-3"/>
    <n v="0"/>
    <n v="0"/>
    <n v="31"/>
    <n v="0.99970000000000003"/>
    <n v="789501600"/>
    <n v="41.078299999999999"/>
    <n v="174.05199999999999"/>
    <n v="719.39490000000001"/>
  </r>
  <r>
    <x v="4"/>
    <s v="2026-03-07 12:00:00"/>
    <s v="1 hour"/>
    <s v="374"/>
    <s v="RNC_ZTE_Mvogada_new(374)"/>
    <s v="374"/>
    <s v="RNC_ZTE_Mvogada_new(374)"/>
    <s v="10269"/>
    <x v="3"/>
    <n v="100"/>
    <n v="1"/>
    <n v="70.28"/>
    <n v="4.9527000000000001"/>
    <n v="99.51"/>
    <n v="99.839999999999989"/>
    <n v="0.99829999999999997"/>
    <n v="0.99829999999999997"/>
    <n v="0.12"/>
    <n v="0.11"/>
    <n v="0"/>
    <n v="0"/>
    <n v="0"/>
    <n v="0"/>
    <n v="0.62519999999999998"/>
    <n v="0.5131"/>
    <n v="-11.76"/>
    <n v="-94.87"/>
    <n v="0.99960000000000004"/>
    <n v="50"/>
    <n v="0.8"/>
    <n v="2E-3"/>
    <n v="1.8E-3"/>
    <n v="0"/>
    <n v="0"/>
    <n v="87"/>
    <n v="0.99990000000000001"/>
    <n v="789501600"/>
    <n v="93.451700000000002"/>
    <n v="382.0326"/>
    <n v="1037.6404"/>
  </r>
  <r>
    <x v="4"/>
    <s v="2026-03-07 12:00:00"/>
    <s v="1 hour"/>
    <s v="374"/>
    <s v="RNC_ZTE_Mvogada_new(374)"/>
    <s v="374"/>
    <s v="RNC_ZTE_Mvogada_new(374)"/>
    <s v="10535"/>
    <x v="4"/>
    <n v="100"/>
    <n v="1"/>
    <n v="32.33"/>
    <n v="4.0340999999999996"/>
    <n v="99.9"/>
    <n v="99.87"/>
    <n v="0.99870000000000003"/>
    <n v="0.99880000000000002"/>
    <n v="0"/>
    <n v="0.04"/>
    <n v="0"/>
    <n v="0"/>
    <n v="0"/>
    <n v="0"/>
    <n v="0.58169999999999999"/>
    <n v="0.26960000000000001"/>
    <n v="-10.61"/>
    <n v="-97.09"/>
    <n v="0.99960000000000004"/>
    <m/>
    <n v="1"/>
    <n v="1.6999999999999999E-3"/>
    <n v="4.5999999999999999E-3"/>
    <n v="0"/>
    <n v="0"/>
    <n v="24"/>
    <n v="1"/>
    <n v="789501600"/>
    <n v="48.953299999999999"/>
    <n v="235.876"/>
    <n v="902.74180000000001"/>
  </r>
  <r>
    <x v="4"/>
    <s v="2026-03-07 12:00:00"/>
    <s v="1 hour"/>
    <s v="374"/>
    <s v="RNC_ZTE_Mvogada_new(374)"/>
    <s v="374"/>
    <s v="RNC_ZTE_Mvogada_new(374)"/>
    <s v="1057"/>
    <x v="5"/>
    <n v="100"/>
    <n v="1"/>
    <n v="73.239999999999995"/>
    <n v="5.5728999999999997"/>
    <n v="99.839999999999989"/>
    <n v="99.8"/>
    <n v="0.998"/>
    <n v="0.998"/>
    <n v="0.02"/>
    <n v="0.08"/>
    <n v="0"/>
    <n v="0"/>
    <n v="0"/>
    <n v="0"/>
    <n v="0.71440000000000003"/>
    <n v="0.51619999999999999"/>
    <n v="-11.13"/>
    <n v="-93.24"/>
    <n v="0.99970000000000003"/>
    <m/>
    <n v="0.85370000000000001"/>
    <n v="3.3E-3"/>
    <n v="9.4999999999999998E-3"/>
    <n v="0"/>
    <n v="0"/>
    <n v="54"/>
    <n v="1"/>
    <n v="789501600"/>
    <n v="88.553299999999993"/>
    <n v="403.5179"/>
    <n v="1166.3043"/>
  </r>
  <r>
    <x v="4"/>
    <s v="2026-03-07 12:00:00"/>
    <s v="1 hour"/>
    <s v="374"/>
    <s v="RNC_ZTE_Mvogada_new(374)"/>
    <s v="374"/>
    <s v="RNC_ZTE_Mvogada_new(374)"/>
    <s v="10726"/>
    <x v="6"/>
    <n v="100"/>
    <n v="1"/>
    <n v="43.72"/>
    <n v="5.0751999999999997"/>
    <n v="99.7"/>
    <n v="99.87"/>
    <n v="0.99860000000000004"/>
    <n v="0.99860000000000004"/>
    <n v="0"/>
    <n v="0.04"/>
    <n v="0"/>
    <n v="0"/>
    <n v="0"/>
    <n v="0"/>
    <n v="0.54759999999999998"/>
    <n v="0.3992"/>
    <n v="-9.9"/>
    <n v="-99.7"/>
    <n v="0.99970000000000003"/>
    <m/>
    <n v="0.55559999999999998"/>
    <n v="1.2999999999999999E-3"/>
    <n v="2.9999999999999997E-4"/>
    <n v="0"/>
    <n v="0"/>
    <n v="18"/>
    <n v="1"/>
    <n v="789501600"/>
    <n v="58.388300000000001"/>
    <n v="274.03250000000003"/>
    <n v="1148.8339000000001"/>
  </r>
  <r>
    <x v="5"/>
    <s v="2026-03-07 13:00:00"/>
    <s v="1 hour"/>
    <s v="373"/>
    <s v="RNC_ZTE_Messamendongo(373)"/>
    <s v="373"/>
    <s v="RNC_ZTE_Messamendongo(373)"/>
    <s v="10468"/>
    <x v="0"/>
    <n v="100"/>
    <n v="1"/>
    <n v="38.67"/>
    <n v="3.5465"/>
    <n v="99.83"/>
    <n v="99.75"/>
    <n v="0.99739999999999995"/>
    <n v="0.99750000000000005"/>
    <n v="0"/>
    <n v="6.9999999999999993E-2"/>
    <n v="0"/>
    <n v="0"/>
    <n v="0"/>
    <n v="0"/>
    <n v="0.45529999999999998"/>
    <n v="0.1888"/>
    <n v="-10.61"/>
    <n v="-97.77"/>
    <n v="0.99980000000000002"/>
    <n v="100"/>
    <n v="1"/>
    <n v="1.2999999999999999E-3"/>
    <n v="2.9999999999999997E-4"/>
    <n v="0"/>
    <n v="0"/>
    <n v="34"/>
    <n v="0.99990000000000001"/>
    <n v="789501600"/>
    <n v="52.0351"/>
    <n v="232.1301"/>
    <n v="770.7029"/>
  </r>
  <r>
    <x v="5"/>
    <s v="2026-03-07 13:00:00"/>
    <s v="1 hour"/>
    <s v="373"/>
    <s v="RNC_ZTE_Messamendongo(373)"/>
    <s v="373"/>
    <s v="RNC_ZTE_Messamendongo(373)"/>
    <s v="10599"/>
    <x v="1"/>
    <n v="100"/>
    <n v="1"/>
    <n v="25.2"/>
    <n v="3.1474000000000002"/>
    <n v="99.850000000000009"/>
    <n v="99.81"/>
    <n v="0.99819999999999998"/>
    <n v="0.99819999999999998"/>
    <n v="0"/>
    <n v="0.09"/>
    <n v="0"/>
    <n v="0"/>
    <n v="0"/>
    <n v="0"/>
    <n v="0.35639999999999999"/>
    <n v="0.1237"/>
    <n v="-9.0299999999999994"/>
    <n v="-99.11"/>
    <n v="0.99960000000000004"/>
    <m/>
    <n v="0"/>
    <n v="1.4E-3"/>
    <n v="1E-4"/>
    <n v="0"/>
    <n v="0"/>
    <n v="52"/>
    <n v="0.99990000000000001"/>
    <n v="789501600"/>
    <n v="35.8917"/>
    <n v="157.13300000000001"/>
    <n v="721.40859999999998"/>
  </r>
  <r>
    <x v="5"/>
    <s v="2026-03-07 13:00:00"/>
    <s v="1 hour"/>
    <s v="373"/>
    <s v="RNC_ZTE_Messamendongo(373)"/>
    <s v="373"/>
    <s v="RNC_ZTE_Messamendongo(373)"/>
    <s v="10900"/>
    <x v="2"/>
    <n v="100"/>
    <n v="1"/>
    <n v="26.27"/>
    <n v="2.9483999999999999"/>
    <n v="99.59"/>
    <n v="99.76"/>
    <n v="0.99760000000000004"/>
    <n v="0.99750000000000005"/>
    <n v="6.9999999999999993E-2"/>
    <n v="0.12"/>
    <n v="0"/>
    <n v="0"/>
    <n v="0"/>
    <n v="0"/>
    <n v="0.44230000000000003"/>
    <n v="0.1757"/>
    <n v="-9.08"/>
    <n v="-98.15"/>
    <n v="0.99919999999999998"/>
    <n v="92.86"/>
    <n v="0.93100000000000005"/>
    <n v="1.2999999999999999E-3"/>
    <n v="3.0999999999999999E-3"/>
    <n v="0"/>
    <n v="0"/>
    <n v="33"/>
    <n v="0.99960000000000004"/>
    <n v="789501600"/>
    <n v="41.173299999999998"/>
    <n v="187.3656"/>
    <n v="651.56439999999998"/>
  </r>
  <r>
    <x v="5"/>
    <s v="2026-03-07 13:00:00"/>
    <s v="1 hour"/>
    <s v="374"/>
    <s v="RNC_ZTE_Mvogada_new(374)"/>
    <s v="374"/>
    <s v="RNC_ZTE_Mvogada_new(374)"/>
    <s v="10269"/>
    <x v="3"/>
    <n v="100"/>
    <n v="1"/>
    <n v="65.239999999999995"/>
    <n v="5.4090999999999996"/>
    <n v="99.7"/>
    <n v="99.839999999999989"/>
    <n v="0.99839999999999995"/>
    <n v="0.99860000000000004"/>
    <n v="0.12"/>
    <n v="0.16999999999999998"/>
    <n v="0"/>
    <n v="0"/>
    <n v="0"/>
    <n v="0"/>
    <n v="0.61409999999999998"/>
    <n v="0.499"/>
    <n v="-11.61"/>
    <n v="-95.19"/>
    <n v="0.99950000000000006"/>
    <n v="0"/>
    <n v="1"/>
    <n v="2.0999999999999999E-3"/>
    <n v="2.5000000000000001E-3"/>
    <n v="0"/>
    <n v="0"/>
    <n v="95"/>
    <n v="0.99990000000000001"/>
    <n v="789501600"/>
    <n v="92.786699999999996"/>
    <n v="384.15870000000001"/>
    <n v="1162.4673"/>
  </r>
  <r>
    <x v="5"/>
    <s v="2026-03-07 13:00:00"/>
    <s v="1 hour"/>
    <s v="374"/>
    <s v="RNC_ZTE_Mvogada_new(374)"/>
    <s v="374"/>
    <s v="RNC_ZTE_Mvogada_new(374)"/>
    <s v="10535"/>
    <x v="4"/>
    <n v="100"/>
    <n v="1"/>
    <n v="30.9"/>
    <n v="4.4917999999999996"/>
    <n v="99.660000000000011"/>
    <n v="99.91"/>
    <n v="0.999"/>
    <n v="0.99909999999999999"/>
    <n v="0.05"/>
    <n v="0.04"/>
    <n v="0"/>
    <n v="0"/>
    <n v="0"/>
    <n v="0"/>
    <n v="0.63749999999999996"/>
    <n v="0.29899999999999999"/>
    <n v="-10.82"/>
    <n v="-97.09"/>
    <n v="0.99939999999999996"/>
    <m/>
    <n v="1"/>
    <n v="2.0999999999999999E-3"/>
    <n v="2.5999999999999999E-3"/>
    <n v="0"/>
    <n v="0"/>
    <n v="36"/>
    <n v="1"/>
    <n v="789501600"/>
    <n v="50.296599999999998"/>
    <n v="226.42840000000001"/>
    <n v="1032.1010000000001"/>
  </r>
  <r>
    <x v="5"/>
    <s v="2026-03-07 13:00:00"/>
    <s v="1 hour"/>
    <s v="374"/>
    <s v="RNC_ZTE_Mvogada_new(374)"/>
    <s v="374"/>
    <s v="RNC_ZTE_Mvogada_new(374)"/>
    <s v="1057"/>
    <x v="5"/>
    <n v="100"/>
    <n v="1"/>
    <n v="74.5"/>
    <n v="5.7108999999999996"/>
    <n v="99.76"/>
    <n v="99.86"/>
    <n v="0.99870000000000003"/>
    <n v="0.99870000000000003"/>
    <n v="0.02"/>
    <n v="6.9999999999999993E-2"/>
    <n v="0"/>
    <n v="0"/>
    <n v="0"/>
    <n v="0"/>
    <n v="0.72699999999999998"/>
    <n v="0.53990000000000005"/>
    <n v="-11.24"/>
    <n v="-93.52"/>
    <n v="0.99980000000000002"/>
    <m/>
    <n v="0.96879999999999999"/>
    <n v="3.8E-3"/>
    <n v="1.24E-2"/>
    <n v="0"/>
    <n v="0"/>
    <n v="42"/>
    <n v="1"/>
    <n v="789501600"/>
    <n v="89.038300000000007"/>
    <n v="366.07929999999999"/>
    <n v="1245.2741000000001"/>
  </r>
  <r>
    <x v="5"/>
    <s v="2026-03-07 13:00:00"/>
    <s v="1 hour"/>
    <s v="374"/>
    <s v="RNC_ZTE_Mvogada_new(374)"/>
    <s v="374"/>
    <s v="RNC_ZTE_Mvogada_new(374)"/>
    <s v="10726"/>
    <x v="6"/>
    <n v="100"/>
    <n v="1"/>
    <n v="43.24"/>
    <n v="4.8272000000000004"/>
    <n v="99.850000000000009"/>
    <n v="99.839999999999989"/>
    <n v="0.99839999999999995"/>
    <n v="0.99839999999999995"/>
    <n v="0"/>
    <n v="0.06"/>
    <n v="0"/>
    <n v="0"/>
    <n v="0"/>
    <n v="0"/>
    <n v="0.51910000000000001"/>
    <n v="0.40379999999999999"/>
    <n v="-9.77"/>
    <n v="-99.92"/>
    <n v="0.99980000000000002"/>
    <m/>
    <n v="0.8"/>
    <n v="1.2999999999999999E-3"/>
    <n v="8.9999999999999998E-4"/>
    <n v="0"/>
    <n v="0"/>
    <n v="31"/>
    <n v="1"/>
    <n v="789501600"/>
    <n v="59.133400000000002"/>
    <n v="294.05939999999998"/>
    <n v="1069.2256"/>
  </r>
  <r>
    <x v="6"/>
    <s v="2026-03-07 14:00:00"/>
    <s v="1 hour"/>
    <s v="373"/>
    <s v="RNC_ZTE_Messamendongo(373)"/>
    <s v="373"/>
    <s v="RNC_ZTE_Messamendongo(373)"/>
    <s v="10468"/>
    <x v="0"/>
    <n v="100"/>
    <n v="1"/>
    <n v="30.31"/>
    <n v="3.3435999999999999"/>
    <n v="99.86"/>
    <n v="99.75"/>
    <n v="0.99739999999999995"/>
    <n v="0.99739999999999995"/>
    <n v="0"/>
    <n v="0.05"/>
    <n v="0"/>
    <n v="0"/>
    <n v="0"/>
    <n v="0"/>
    <n v="0.43669999999999998"/>
    <n v="0.1673"/>
    <n v="-10.48"/>
    <n v="-98.31"/>
    <n v="0.99970000000000003"/>
    <m/>
    <n v="0.88890000000000002"/>
    <n v="1.4E-3"/>
    <n v="2.0000000000000001E-4"/>
    <n v="0"/>
    <n v="0"/>
    <n v="41"/>
    <n v="0.99990000000000001"/>
    <n v="789501600"/>
    <n v="45.265000000000001"/>
    <n v="197.2209"/>
    <n v="749.09310000000005"/>
  </r>
  <r>
    <x v="6"/>
    <s v="2026-03-07 14:00:00"/>
    <s v="1 hour"/>
    <s v="373"/>
    <s v="RNC_ZTE_Messamendongo(373)"/>
    <s v="373"/>
    <s v="RNC_ZTE_Messamendongo(373)"/>
    <s v="10599"/>
    <x v="1"/>
    <n v="100"/>
    <n v="1"/>
    <n v="25.63"/>
    <n v="3.8620999999999999"/>
    <n v="99.77000000000001"/>
    <n v="99.81"/>
    <n v="0.99809999999999999"/>
    <n v="0.99809999999999999"/>
    <n v="0.12"/>
    <n v="0.08"/>
    <n v="0"/>
    <n v="0"/>
    <n v="0"/>
    <n v="0"/>
    <n v="0.36720000000000003"/>
    <n v="0.14729999999999999"/>
    <n v="-8.89"/>
    <n v="-98.78"/>
    <n v="0.99960000000000004"/>
    <m/>
    <n v="0"/>
    <n v="1.8E-3"/>
    <n v="5.9999999999999995E-4"/>
    <n v="0"/>
    <n v="0"/>
    <n v="60"/>
    <n v="0.99990000000000001"/>
    <n v="789501600"/>
    <n v="36.0017"/>
    <n v="190.70240000000001"/>
    <n v="910.19159999999999"/>
  </r>
  <r>
    <x v="6"/>
    <s v="2026-03-07 14:00:00"/>
    <s v="1 hour"/>
    <s v="373"/>
    <s v="RNC_ZTE_Messamendongo(373)"/>
    <s v="373"/>
    <s v="RNC_ZTE_Messamendongo(373)"/>
    <s v="10900"/>
    <x v="2"/>
    <n v="100"/>
    <n v="1"/>
    <n v="22.26"/>
    <n v="3.8188"/>
    <n v="99.67"/>
    <n v="99.63"/>
    <n v="0.99619999999999997"/>
    <n v="0.99619999999999997"/>
    <n v="0.16"/>
    <n v="0.13"/>
    <n v="0"/>
    <n v="0"/>
    <n v="0"/>
    <n v="0"/>
    <n v="0.49790000000000001"/>
    <n v="0.1704"/>
    <n v="-9.44"/>
    <n v="-98.42"/>
    <n v="0.99950000000000006"/>
    <n v="84.21"/>
    <n v="0.94740000000000002"/>
    <n v="1.5E-3"/>
    <n v="1.1999999999999999E-3"/>
    <n v="0"/>
    <n v="0"/>
    <n v="29"/>
    <n v="0.99950000000000006"/>
    <n v="789501600"/>
    <n v="38.286700000000003"/>
    <n v="163.57560000000001"/>
    <n v="915.68640000000005"/>
  </r>
  <r>
    <x v="6"/>
    <s v="2026-03-07 14:00:00"/>
    <s v="1 hour"/>
    <s v="374"/>
    <s v="RNC_ZTE_Mvogada_new(374)"/>
    <s v="374"/>
    <s v="RNC_ZTE_Mvogada_new(374)"/>
    <s v="10269"/>
    <x v="3"/>
    <n v="100"/>
    <n v="1"/>
    <n v="55.32"/>
    <n v="5.3287000000000004"/>
    <n v="99.77000000000001"/>
    <n v="99.850000000000009"/>
    <n v="0.99850000000000005"/>
    <n v="0.99850000000000005"/>
    <n v="0.08"/>
    <n v="0.12"/>
    <n v="0"/>
    <n v="0"/>
    <n v="0"/>
    <n v="0"/>
    <n v="0.64570000000000005"/>
    <n v="0.52029999999999998"/>
    <n v="-11.93"/>
    <n v="-95.47"/>
    <n v="0.99970000000000003"/>
    <n v="100"/>
    <n v="1"/>
    <n v="2.2000000000000001E-3"/>
    <n v="2E-3"/>
    <n v="0"/>
    <n v="0"/>
    <n v="81"/>
    <n v="0.99990000000000001"/>
    <n v="789501600"/>
    <n v="91.69"/>
    <n v="391.9667"/>
    <n v="1128.5217"/>
  </r>
  <r>
    <x v="6"/>
    <s v="2026-03-07 14:00:00"/>
    <s v="1 hour"/>
    <s v="374"/>
    <s v="RNC_ZTE_Mvogada_new(374)"/>
    <s v="374"/>
    <s v="RNC_ZTE_Mvogada_new(374)"/>
    <s v="10535"/>
    <x v="4"/>
    <n v="100"/>
    <n v="1"/>
    <n v="27.59"/>
    <n v="4.8116000000000003"/>
    <n v="99.63"/>
    <n v="99.86"/>
    <n v="0.99870000000000003"/>
    <n v="0.99880000000000002"/>
    <n v="0.06"/>
    <n v="0.02"/>
    <n v="0"/>
    <n v="0"/>
    <n v="0"/>
    <n v="0"/>
    <n v="0.61939999999999995"/>
    <n v="0.30990000000000001"/>
    <n v="-10.87"/>
    <n v="-97.06"/>
    <n v="0.99960000000000004"/>
    <m/>
    <n v="0.5"/>
    <n v="2.7000000000000001E-3"/>
    <n v="4.4000000000000003E-3"/>
    <n v="0"/>
    <n v="0"/>
    <n v="35"/>
    <n v="1"/>
    <n v="789501600"/>
    <n v="51.494999999999997"/>
    <n v="275.22190000000001"/>
    <n v="1083.2579000000001"/>
  </r>
  <r>
    <x v="6"/>
    <s v="2026-03-07 14:00:00"/>
    <s v="1 hour"/>
    <s v="374"/>
    <s v="RNC_ZTE_Mvogada_new(374)"/>
    <s v="374"/>
    <s v="RNC_ZTE_Mvogada_new(374)"/>
    <s v="1057"/>
    <x v="5"/>
    <n v="100"/>
    <n v="1"/>
    <n v="67.040000000000006"/>
    <n v="5.1867999999999999"/>
    <n v="99.88"/>
    <n v="99.82"/>
    <n v="0.99819999999999998"/>
    <n v="0.99829999999999997"/>
    <n v="0.04"/>
    <n v="6.9999999999999993E-2"/>
    <n v="0"/>
    <n v="0"/>
    <n v="0"/>
    <n v="0"/>
    <n v="0.72589999999999999"/>
    <n v="0.52370000000000005"/>
    <n v="-11.32"/>
    <n v="-93.81"/>
    <n v="0.99950000000000006"/>
    <m/>
    <n v="0.9032"/>
    <n v="3.5999999999999999E-3"/>
    <n v="1.15E-2"/>
    <n v="0"/>
    <n v="0"/>
    <n v="40"/>
    <n v="1"/>
    <n v="789501600"/>
    <n v="87.136700000000005"/>
    <n v="340.77170000000001"/>
    <n v="1126.4100000000001"/>
  </r>
  <r>
    <x v="6"/>
    <s v="2026-03-07 14:00:00"/>
    <s v="1 hour"/>
    <s v="374"/>
    <s v="RNC_ZTE_Mvogada_new(374)"/>
    <s v="374"/>
    <s v="RNC_ZTE_Mvogada_new(374)"/>
    <s v="10726"/>
    <x v="6"/>
    <n v="100"/>
    <n v="1"/>
    <n v="37.340000000000003"/>
    <n v="4.6391999999999998"/>
    <n v="99.72"/>
    <n v="99.81"/>
    <n v="0.998"/>
    <n v="0.998"/>
    <n v="0"/>
    <n v="6.9999999999999993E-2"/>
    <n v="0"/>
    <n v="0"/>
    <n v="0"/>
    <n v="0"/>
    <n v="0.498"/>
    <n v="0.3901"/>
    <n v="-9.69"/>
    <n v="-100.45"/>
    <n v="0.99980000000000002"/>
    <m/>
    <n v="0.81820000000000004"/>
    <n v="1.1999999999999999E-3"/>
    <n v="5.9999999999999995E-4"/>
    <n v="0"/>
    <n v="0"/>
    <n v="32"/>
    <n v="1"/>
    <n v="789501600"/>
    <n v="55.3"/>
    <n v="275.39499999999998"/>
    <n v="1022.0281"/>
  </r>
  <r>
    <x v="7"/>
    <s v="2026-03-07 15:00:00"/>
    <s v="1 hour"/>
    <s v="373"/>
    <s v="RNC_ZTE_Messamendongo(373)"/>
    <s v="373"/>
    <s v="RNC_ZTE_Messamendongo(373)"/>
    <s v="10468"/>
    <x v="0"/>
    <n v="100"/>
    <n v="1"/>
    <n v="33.99"/>
    <n v="3.7894999999999999"/>
    <n v="99.87"/>
    <n v="99.839999999999989"/>
    <n v="0.99839999999999995"/>
    <n v="0.99839999999999995"/>
    <n v="0"/>
    <n v="0.06"/>
    <n v="0"/>
    <n v="0"/>
    <n v="0"/>
    <n v="0"/>
    <n v="0.46229999999999999"/>
    <n v="0.1651"/>
    <n v="-10.51"/>
    <n v="-98.31"/>
    <n v="0.99980000000000002"/>
    <n v="50"/>
    <n v="1"/>
    <n v="1.6000000000000001E-3"/>
    <n v="2.0000000000000001E-4"/>
    <n v="0"/>
    <n v="0"/>
    <n v="40"/>
    <n v="0.99990000000000001"/>
    <n v="789501600"/>
    <n v="46.203299999999999"/>
    <n v="211.57900000000001"/>
    <n v="857.85339999999997"/>
  </r>
  <r>
    <x v="7"/>
    <s v="2026-03-07 15:00:00"/>
    <s v="1 hour"/>
    <s v="373"/>
    <s v="RNC_ZTE_Messamendongo(373)"/>
    <s v="373"/>
    <s v="RNC_ZTE_Messamendongo(373)"/>
    <s v="10599"/>
    <x v="1"/>
    <n v="100"/>
    <n v="1"/>
    <n v="25.96"/>
    <n v="3.1621999999999999"/>
    <n v="99.75"/>
    <n v="99.850000000000009"/>
    <n v="0.99839999999999995"/>
    <n v="0.99829999999999997"/>
    <n v="0.13"/>
    <n v="6.9999999999999993E-2"/>
    <n v="1"/>
    <n v="0"/>
    <n v="0"/>
    <n v="0"/>
    <n v="0.33800000000000002"/>
    <n v="0.1283"/>
    <n v="-8.58"/>
    <n v="-99.31"/>
    <n v="0.99939999999999996"/>
    <m/>
    <n v="1"/>
    <n v="1.6999999999999999E-3"/>
    <n v="1E-4"/>
    <n v="0"/>
    <n v="0"/>
    <n v="41"/>
    <n v="0.99990000000000001"/>
    <n v="789501600"/>
    <n v="35.215000000000003"/>
    <n v="159.57830000000001"/>
    <n v="727.27790000000005"/>
  </r>
  <r>
    <x v="7"/>
    <s v="2026-03-07 15:00:00"/>
    <s v="1 hour"/>
    <s v="373"/>
    <s v="RNC_ZTE_Messamendongo(373)"/>
    <s v="373"/>
    <s v="RNC_ZTE_Messamendongo(373)"/>
    <s v="10900"/>
    <x v="2"/>
    <n v="100"/>
    <n v="1"/>
    <n v="21.29"/>
    <n v="2.6627000000000001"/>
    <n v="99.539999999999992"/>
    <n v="99.76"/>
    <n v="0.99750000000000005"/>
    <n v="0.99750000000000005"/>
    <n v="0.16"/>
    <n v="0.06"/>
    <n v="0"/>
    <n v="0"/>
    <n v="0"/>
    <n v="0"/>
    <n v="0.46189999999999998"/>
    <n v="0.17269999999999999"/>
    <n v="-9.3000000000000007"/>
    <n v="-98.64"/>
    <n v="0.99929999999999997"/>
    <n v="80"/>
    <n v="0.91669999999999996"/>
    <n v="1.4E-3"/>
    <n v="4.0000000000000002E-4"/>
    <n v="0"/>
    <n v="0"/>
    <n v="34"/>
    <n v="0.99960000000000004"/>
    <n v="789501600"/>
    <n v="41.225000000000001"/>
    <n v="152.0498"/>
    <n v="600.33749999999998"/>
  </r>
  <r>
    <x v="7"/>
    <s v="2026-03-07 15:00:00"/>
    <s v="1 hour"/>
    <s v="374"/>
    <s v="RNC_ZTE_Mvogada_new(374)"/>
    <s v="374"/>
    <s v="RNC_ZTE_Mvogada_new(374)"/>
    <s v="10269"/>
    <x v="3"/>
    <n v="100"/>
    <n v="1"/>
    <n v="59.25"/>
    <n v="5.4827000000000004"/>
    <n v="99.61"/>
    <n v="99.850000000000009"/>
    <n v="0.99850000000000005"/>
    <n v="0.99850000000000005"/>
    <n v="0.05"/>
    <n v="0.08"/>
    <n v="0"/>
    <n v="0"/>
    <n v="0"/>
    <n v="0"/>
    <n v="0.64139999999999997"/>
    <n v="0.50590000000000002"/>
    <n v="-11.87"/>
    <n v="-95.02"/>
    <n v="0.99950000000000006"/>
    <n v="100"/>
    <n v="0.66669999999999996"/>
    <n v="1.9E-3"/>
    <n v="2.3999999999999998E-3"/>
    <n v="0"/>
    <n v="0"/>
    <n v="90"/>
    <n v="0.99990000000000001"/>
    <n v="789501600"/>
    <n v="91.848399999999998"/>
    <n v="368.8929"/>
    <n v="1186.4156"/>
  </r>
  <r>
    <x v="7"/>
    <s v="2026-03-07 15:00:00"/>
    <s v="1 hour"/>
    <s v="374"/>
    <s v="RNC_ZTE_Mvogada_new(374)"/>
    <s v="374"/>
    <s v="RNC_ZTE_Mvogada_new(374)"/>
    <s v="10535"/>
    <x v="4"/>
    <n v="100"/>
    <n v="1"/>
    <n v="31.88"/>
    <n v="4.5187999999999997"/>
    <n v="99.76"/>
    <n v="99.88"/>
    <n v="0.99890000000000001"/>
    <n v="0.99880000000000002"/>
    <n v="0"/>
    <n v="0.06"/>
    <n v="0"/>
    <n v="0"/>
    <n v="0"/>
    <n v="0"/>
    <n v="0.58599999999999997"/>
    <n v="0.28839999999999999"/>
    <n v="-10.38"/>
    <n v="-97.07"/>
    <n v="0.99970000000000003"/>
    <m/>
    <n v="1"/>
    <n v="2.3E-3"/>
    <n v="4.4000000000000003E-3"/>
    <n v="0"/>
    <n v="0"/>
    <n v="41"/>
    <n v="1"/>
    <n v="789501600"/>
    <n v="50.958399999999997"/>
    <n v="263.1078"/>
    <n v="1015.502"/>
  </r>
  <r>
    <x v="7"/>
    <s v="2026-03-07 15:00:00"/>
    <s v="1 hour"/>
    <s v="374"/>
    <s v="RNC_ZTE_Mvogada_new(374)"/>
    <s v="374"/>
    <s v="RNC_ZTE_Mvogada_new(374)"/>
    <s v="1057"/>
    <x v="5"/>
    <n v="100"/>
    <n v="1"/>
    <n v="64.28"/>
    <n v="4.8718000000000004"/>
    <n v="99.94"/>
    <n v="99.79"/>
    <n v="0.99780000000000002"/>
    <n v="0.998"/>
    <n v="0.02"/>
    <n v="6.9999999999999993E-2"/>
    <n v="0"/>
    <n v="0"/>
    <n v="0"/>
    <n v="0"/>
    <n v="0.68240000000000001"/>
    <n v="0.497"/>
    <n v="-11.12"/>
    <n v="-93.79"/>
    <n v="0.99970000000000003"/>
    <m/>
    <n v="0.83330000000000004"/>
    <n v="3.8E-3"/>
    <n v="7.7000000000000002E-3"/>
    <n v="0"/>
    <n v="0"/>
    <n v="44"/>
    <n v="1"/>
    <n v="789501600"/>
    <n v="81.736699999999999"/>
    <n v="375.10449999999997"/>
    <n v="1008.3371"/>
  </r>
  <r>
    <x v="7"/>
    <s v="2026-03-07 15:00:00"/>
    <s v="1 hour"/>
    <s v="374"/>
    <s v="RNC_ZTE_Mvogada_new(374)"/>
    <s v="374"/>
    <s v="RNC_ZTE_Mvogada_new(374)"/>
    <s v="10726"/>
    <x v="6"/>
    <n v="100"/>
    <n v="1"/>
    <n v="38.159999999999997"/>
    <n v="3.7923"/>
    <n v="99.71"/>
    <n v="99.839999999999989"/>
    <n v="0.99839999999999995"/>
    <n v="0.99870000000000003"/>
    <n v="0"/>
    <n v="0.05"/>
    <n v="1"/>
    <n v="0"/>
    <n v="0"/>
    <n v="0"/>
    <n v="0.48130000000000001"/>
    <n v="0.3649"/>
    <n v="-9.49"/>
    <n v="-100.3"/>
    <n v="0.99960000000000004"/>
    <m/>
    <n v="1"/>
    <n v="1.4E-3"/>
    <n v="2.0000000000000001E-4"/>
    <n v="0"/>
    <n v="0"/>
    <n v="35"/>
    <n v="1"/>
    <n v="789501600"/>
    <n v="56.2667"/>
    <n v="255.83860000000001"/>
    <n v="809.72969999999998"/>
  </r>
  <r>
    <x v="8"/>
    <s v="2026-03-07 16:00:00"/>
    <s v="1 hour"/>
    <s v="373"/>
    <s v="RNC_ZTE_Messamendongo(373)"/>
    <s v="373"/>
    <s v="RNC_ZTE_Messamendongo(373)"/>
    <s v="10468"/>
    <x v="0"/>
    <n v="100"/>
    <n v="1"/>
    <n v="33.06"/>
    <n v="3.9201999999999999"/>
    <n v="99.87"/>
    <n v="99.8"/>
    <n v="0.998"/>
    <n v="0.99809999999999999"/>
    <n v="0"/>
    <n v="0.09"/>
    <n v="0"/>
    <n v="0"/>
    <n v="0"/>
    <n v="0"/>
    <n v="0.46089999999999998"/>
    <n v="0.19400000000000001"/>
    <n v="-10.43"/>
    <n v="-97.73"/>
    <n v="0.99970000000000003"/>
    <n v="100"/>
    <n v="1"/>
    <n v="1.6000000000000001E-3"/>
    <n v="5.3E-3"/>
    <n v="0"/>
    <n v="0"/>
    <n v="41"/>
    <n v="0.99990000000000001"/>
    <n v="789501600"/>
    <n v="50.591700000000003"/>
    <n v="217.16329999999999"/>
    <n v="895.05110000000002"/>
  </r>
  <r>
    <x v="8"/>
    <s v="2026-03-07 16:00:00"/>
    <s v="1 hour"/>
    <s v="373"/>
    <s v="RNC_ZTE_Messamendongo(373)"/>
    <s v="373"/>
    <s v="RNC_ZTE_Messamendongo(373)"/>
    <s v="10599"/>
    <x v="1"/>
    <n v="100"/>
    <n v="1"/>
    <n v="22.49"/>
    <n v="2.1042999999999998"/>
    <n v="99.82"/>
    <n v="99.79"/>
    <n v="0.998"/>
    <n v="0.998"/>
    <n v="6.9999999999999993E-2"/>
    <n v="0.05"/>
    <n v="0"/>
    <n v="0"/>
    <n v="0"/>
    <n v="0"/>
    <n v="0.26129999999999998"/>
    <n v="0.1343"/>
    <n v="-7.89"/>
    <n v="-99.21"/>
    <n v="0.99939999999999996"/>
    <m/>
    <n v="1"/>
    <n v="2E-3"/>
    <n v="2.9999999999999997E-4"/>
    <n v="0"/>
    <n v="0"/>
    <n v="52"/>
    <n v="0.99990000000000001"/>
    <n v="789501600"/>
    <n v="34.368400000000001"/>
    <n v="158.72329999999999"/>
    <n v="434.02319999999997"/>
  </r>
  <r>
    <x v="8"/>
    <s v="2026-03-07 16:00:00"/>
    <s v="1 hour"/>
    <s v="373"/>
    <s v="RNC_ZTE_Messamendongo(373)"/>
    <s v="373"/>
    <s v="RNC_ZTE_Messamendongo(373)"/>
    <s v="10900"/>
    <x v="2"/>
    <n v="100"/>
    <n v="1"/>
    <n v="24.43"/>
    <n v="3.306"/>
    <n v="99.64"/>
    <n v="99.75"/>
    <n v="0.99760000000000004"/>
    <n v="0.99760000000000004"/>
    <n v="0.27999999999999997"/>
    <n v="0.1"/>
    <n v="0"/>
    <n v="0"/>
    <n v="0"/>
    <n v="0"/>
    <n v="0.46100000000000002"/>
    <n v="0.19620000000000001"/>
    <n v="-9.17"/>
    <n v="-98.23"/>
    <n v="0.99960000000000004"/>
    <n v="94.12"/>
    <n v="0.97440000000000004"/>
    <n v="1.4E-3"/>
    <n v="2.9999999999999997E-4"/>
    <n v="0"/>
    <n v="0"/>
    <n v="32"/>
    <n v="0.99950000000000006"/>
    <n v="789501600"/>
    <n v="45.528300000000002"/>
    <n v="164.70490000000001"/>
    <n v="766.91700000000003"/>
  </r>
  <r>
    <x v="8"/>
    <s v="2026-03-07 16:00:00"/>
    <s v="1 hour"/>
    <s v="374"/>
    <s v="RNC_ZTE_Mvogada_new(374)"/>
    <s v="374"/>
    <s v="RNC_ZTE_Mvogada_new(374)"/>
    <s v="10269"/>
    <x v="3"/>
    <n v="100"/>
    <n v="1"/>
    <n v="60.42"/>
    <n v="5.14"/>
    <n v="99.660000000000011"/>
    <n v="99.839999999999989"/>
    <n v="0.99839999999999995"/>
    <n v="0.99829999999999997"/>
    <n v="0.05"/>
    <n v="0.08"/>
    <n v="0"/>
    <n v="0"/>
    <n v="0"/>
    <n v="0"/>
    <n v="0.60629999999999995"/>
    <n v="0.51700000000000002"/>
    <n v="-11.66"/>
    <n v="-95.25"/>
    <n v="0.99970000000000003"/>
    <n v="66.67"/>
    <n v="1"/>
    <n v="1.8E-3"/>
    <n v="2.3999999999999998E-3"/>
    <n v="0"/>
    <n v="0"/>
    <n v="93"/>
    <n v="0.99990000000000001"/>
    <n v="789501600"/>
    <n v="86.87"/>
    <n v="385.83670000000001"/>
    <n v="1089.2560000000001"/>
  </r>
  <r>
    <x v="8"/>
    <s v="2026-03-07 16:00:00"/>
    <s v="1 hour"/>
    <s v="374"/>
    <s v="RNC_ZTE_Mvogada_new(374)"/>
    <s v="374"/>
    <s v="RNC_ZTE_Mvogada_new(374)"/>
    <s v="10535"/>
    <x v="4"/>
    <n v="100"/>
    <n v="1"/>
    <n v="30.56"/>
    <n v="4.2914000000000003"/>
    <n v="99.81"/>
    <n v="99.89"/>
    <n v="0.99890000000000001"/>
    <n v="0.999"/>
    <n v="0"/>
    <n v="0.05"/>
    <n v="0"/>
    <n v="0"/>
    <n v="0"/>
    <n v="0"/>
    <n v="0.58320000000000005"/>
    <n v="0.27629999999999999"/>
    <n v="-10.55"/>
    <n v="-97.04"/>
    <n v="0.99970000000000003"/>
    <m/>
    <n v="1"/>
    <n v="2.0999999999999999E-3"/>
    <n v="4.1000000000000003E-3"/>
    <n v="0"/>
    <n v="0"/>
    <n v="37"/>
    <n v="1"/>
    <n v="789501600"/>
    <n v="50.3416"/>
    <n v="250.41630000000001"/>
    <n v="960.22320000000002"/>
  </r>
  <r>
    <x v="8"/>
    <s v="2026-03-07 16:00:00"/>
    <s v="1 hour"/>
    <s v="374"/>
    <s v="RNC_ZTE_Mvogada_new(374)"/>
    <s v="374"/>
    <s v="RNC_ZTE_Mvogada_new(374)"/>
    <s v="1057"/>
    <x v="5"/>
    <n v="100"/>
    <n v="1"/>
    <n v="66.819999999999993"/>
    <n v="5.1026999999999996"/>
    <n v="99.72"/>
    <n v="99.850000000000009"/>
    <n v="0.99850000000000005"/>
    <n v="0.99870000000000003"/>
    <n v="0.08"/>
    <n v="6.9999999999999993E-2"/>
    <n v="0"/>
    <n v="0"/>
    <n v="0"/>
    <n v="0"/>
    <n v="0.71020000000000005"/>
    <n v="0.51060000000000005"/>
    <n v="-11.23"/>
    <n v="-92.49"/>
    <n v="0.99970000000000003"/>
    <m/>
    <n v="0.91669999999999996"/>
    <n v="3.8999999999999998E-3"/>
    <n v="7.4999999999999997E-3"/>
    <n v="0"/>
    <n v="0"/>
    <n v="32"/>
    <n v="1"/>
    <n v="789501600"/>
    <n v="85.468400000000003"/>
    <n v="362.66140000000001"/>
    <n v="1067.7619"/>
  </r>
  <r>
    <x v="8"/>
    <s v="2026-03-07 16:00:00"/>
    <s v="1 hour"/>
    <s v="374"/>
    <s v="RNC_ZTE_Mvogada_new(374)"/>
    <s v="374"/>
    <s v="RNC_ZTE_Mvogada_new(374)"/>
    <s v="10726"/>
    <x v="6"/>
    <n v="100"/>
    <n v="1"/>
    <n v="36.07"/>
    <n v="3.6374"/>
    <n v="99.92"/>
    <n v="99.89"/>
    <n v="0.99880000000000002"/>
    <n v="0.99880000000000002"/>
    <n v="0"/>
    <n v="6.9999999999999993E-2"/>
    <n v="0"/>
    <n v="0"/>
    <n v="0"/>
    <n v="0"/>
    <n v="0.44879999999999998"/>
    <n v="0.30649999999999999"/>
    <n v="-9.2799999999999994"/>
    <n v="-100.38"/>
    <n v="0.99980000000000002"/>
    <m/>
    <n v="0.71430000000000005"/>
    <n v="1.2999999999999999E-3"/>
    <n v="1E-3"/>
    <n v="0"/>
    <n v="0"/>
    <n v="30"/>
    <n v="1"/>
    <n v="789501600"/>
    <n v="49.225000000000001"/>
    <n v="266.91969999999998"/>
    <n v="754.19380000000001"/>
  </r>
  <r>
    <x v="9"/>
    <s v="2026-03-07 17:00:00"/>
    <s v="1 hour"/>
    <s v="373"/>
    <s v="RNC_ZTE_Messamendongo(373)"/>
    <s v="373"/>
    <s v="RNC_ZTE_Messamendongo(373)"/>
    <s v="10468"/>
    <x v="0"/>
    <n v="100"/>
    <n v="1"/>
    <n v="34.76"/>
    <n v="3.7818999999999998"/>
    <n v="99.839999999999989"/>
    <n v="99.78"/>
    <n v="0.99790000000000001"/>
    <n v="0.99790000000000001"/>
    <n v="0.04"/>
    <n v="0.06"/>
    <n v="0"/>
    <n v="0"/>
    <n v="0"/>
    <n v="0"/>
    <n v="0.48120000000000002"/>
    <n v="0.18279999999999999"/>
    <n v="-10.59"/>
    <n v="-97.53"/>
    <n v="0.99970000000000003"/>
    <n v="100"/>
    <n v="1"/>
    <n v="1.6000000000000001E-3"/>
    <n v="2.0000000000000001E-4"/>
    <n v="0"/>
    <n v="0"/>
    <n v="45"/>
    <n v="0.99990000000000001"/>
    <n v="789501600"/>
    <n v="50.691699999999997"/>
    <n v="211.315"/>
    <n v="849.19889999999998"/>
  </r>
  <r>
    <x v="9"/>
    <s v="2026-03-07 17:00:00"/>
    <s v="1 hour"/>
    <s v="373"/>
    <s v="RNC_ZTE_Messamendongo(373)"/>
    <s v="373"/>
    <s v="RNC_ZTE_Messamendongo(373)"/>
    <s v="10599"/>
    <x v="1"/>
    <n v="100"/>
    <n v="1"/>
    <n v="23.92"/>
    <n v="3.5461"/>
    <n v="100"/>
    <n v="99.8"/>
    <n v="0.998"/>
    <n v="0.998"/>
    <n v="0"/>
    <n v="0.04"/>
    <n v="0"/>
    <n v="0"/>
    <n v="0"/>
    <n v="0"/>
    <n v="0.3427"/>
    <n v="0.128"/>
    <n v="-8.81"/>
    <n v="-99.11"/>
    <n v="0.99970000000000003"/>
    <m/>
    <n v="0.5"/>
    <n v="1.6999999999999999E-3"/>
    <n v="5.9999999999999995E-4"/>
    <n v="0"/>
    <n v="0"/>
    <n v="45"/>
    <n v="0.99990000000000001"/>
    <n v="789501600"/>
    <n v="36.773400000000002"/>
    <n v="226.32159999999999"/>
    <n v="769.01400000000001"/>
  </r>
  <r>
    <x v="9"/>
    <s v="2026-03-07 17:00:00"/>
    <s v="1 hour"/>
    <s v="373"/>
    <s v="RNC_ZTE_Messamendongo(373)"/>
    <s v="373"/>
    <s v="RNC_ZTE_Messamendongo(373)"/>
    <s v="10900"/>
    <x v="2"/>
    <n v="100"/>
    <n v="1"/>
    <n v="23.94"/>
    <n v="3.2831000000000001"/>
    <n v="99.339999999999989"/>
    <n v="99.7"/>
    <n v="0.997"/>
    <n v="0.99709999999999999"/>
    <n v="0"/>
    <n v="0.13999999999999999"/>
    <n v="0"/>
    <n v="0"/>
    <n v="0"/>
    <n v="0"/>
    <n v="0.46920000000000001"/>
    <n v="0.19639999999999999"/>
    <n v="-9.3000000000000007"/>
    <n v="-98.09"/>
    <n v="0.99950000000000006"/>
    <n v="83.33"/>
    <n v="0.85189999999999999"/>
    <n v="1.6999999999999999E-3"/>
    <n v="6.9999999999999999E-4"/>
    <n v="0"/>
    <n v="0"/>
    <n v="35"/>
    <n v="0.99950000000000006"/>
    <n v="789501600"/>
    <n v="42.33"/>
    <n v="174.8647"/>
    <n v="740.02949999999998"/>
  </r>
  <r>
    <x v="9"/>
    <s v="2026-03-07 17:00:00"/>
    <s v="1 hour"/>
    <s v="374"/>
    <s v="RNC_ZTE_Mvogada_new(374)"/>
    <s v="374"/>
    <s v="RNC_ZTE_Mvogada_new(374)"/>
    <s v="10269"/>
    <x v="3"/>
    <n v="100"/>
    <n v="1"/>
    <n v="58.92"/>
    <n v="5.2685000000000004"/>
    <n v="99.78"/>
    <n v="99.839999999999989"/>
    <n v="0.99839999999999995"/>
    <n v="0.99839999999999995"/>
    <n v="0.1"/>
    <n v="0.08"/>
    <n v="0"/>
    <n v="0"/>
    <n v="0"/>
    <n v="0"/>
    <n v="0.63270000000000004"/>
    <n v="0.51180000000000003"/>
    <n v="-11.76"/>
    <n v="-95.79"/>
    <n v="0.99960000000000004"/>
    <m/>
    <n v="0.66669999999999996"/>
    <n v="1.9E-3"/>
    <n v="2.5999999999999999E-3"/>
    <n v="0"/>
    <n v="0"/>
    <n v="103"/>
    <n v="0.99990000000000001"/>
    <n v="789501600"/>
    <n v="86.098299999999995"/>
    <n v="368.06450000000001"/>
    <n v="1136.6505999999999"/>
  </r>
  <r>
    <x v="9"/>
    <s v="2026-03-07 17:00:00"/>
    <s v="1 hour"/>
    <s v="374"/>
    <s v="RNC_ZTE_Mvogada_new(374)"/>
    <s v="374"/>
    <s v="RNC_ZTE_Mvogada_new(374)"/>
    <s v="10535"/>
    <x v="4"/>
    <n v="100"/>
    <n v="1"/>
    <n v="33.28"/>
    <n v="5.0858999999999996"/>
    <n v="99.72"/>
    <n v="99.87"/>
    <n v="0.99870000000000003"/>
    <n v="0.99880000000000002"/>
    <n v="0.1"/>
    <n v="0.04"/>
    <n v="0"/>
    <n v="0"/>
    <n v="0"/>
    <n v="0"/>
    <n v="0.58450000000000002"/>
    <n v="0.26850000000000002"/>
    <n v="-10.78"/>
    <n v="-96.88"/>
    <n v="0.99960000000000004"/>
    <m/>
    <n v="1"/>
    <n v="2.0999999999999999E-3"/>
    <n v="4.4000000000000003E-3"/>
    <n v="0"/>
    <n v="0"/>
    <n v="36"/>
    <n v="1"/>
    <n v="789501600"/>
    <n v="56.41"/>
    <n v="376.32909999999998"/>
    <n v="1065.0787"/>
  </r>
  <r>
    <x v="9"/>
    <s v="2026-03-07 17:00:00"/>
    <s v="1 hour"/>
    <s v="374"/>
    <s v="RNC_ZTE_Mvogada_new(374)"/>
    <s v="374"/>
    <s v="RNC_ZTE_Mvogada_new(374)"/>
    <s v="1057"/>
    <x v="5"/>
    <n v="100"/>
    <n v="1"/>
    <n v="71.3"/>
    <n v="5.1928000000000001"/>
    <n v="99.78"/>
    <n v="99.79"/>
    <n v="0.998"/>
    <n v="0.99809999999999999"/>
    <n v="0"/>
    <n v="0.08"/>
    <n v="0"/>
    <n v="0"/>
    <n v="0"/>
    <n v="1"/>
    <n v="0.76090000000000002"/>
    <n v="0.50439999999999996"/>
    <n v="-11.63"/>
    <n v="-92.81"/>
    <n v="0.99960000000000004"/>
    <m/>
    <n v="0.77780000000000005"/>
    <n v="3.8E-3"/>
    <n v="7.3000000000000001E-3"/>
    <n v="0"/>
    <n v="0"/>
    <n v="39"/>
    <n v="1"/>
    <n v="789501600"/>
    <n v="93.748400000000004"/>
    <n v="431.37520000000001"/>
    <n v="1029.5536"/>
  </r>
  <r>
    <x v="9"/>
    <s v="2026-03-07 17:00:00"/>
    <s v="1 hour"/>
    <s v="374"/>
    <s v="RNC_ZTE_Mvogada_new(374)"/>
    <s v="374"/>
    <s v="RNC_ZTE_Mvogada_new(374)"/>
    <s v="10726"/>
    <x v="6"/>
    <n v="100"/>
    <n v="1"/>
    <n v="38.39"/>
    <n v="4.5223000000000004"/>
    <n v="99.850000000000009"/>
    <n v="99.83"/>
    <n v="0.99829999999999997"/>
    <n v="0.99829999999999997"/>
    <n v="0.09"/>
    <n v="6.9999999999999993E-2"/>
    <n v="0"/>
    <n v="0"/>
    <n v="0"/>
    <n v="0"/>
    <n v="0.4773"/>
    <n v="0.32550000000000001"/>
    <n v="-9.41"/>
    <n v="-100.16"/>
    <n v="0.99950000000000006"/>
    <m/>
    <n v="1"/>
    <n v="1.1999999999999999E-3"/>
    <n v="4.0000000000000002E-4"/>
    <n v="0"/>
    <n v="0"/>
    <n v="27"/>
    <n v="1"/>
    <n v="789501600"/>
    <n v="50.7834"/>
    <n v="291.20100000000002"/>
    <n v="981.04539999999997"/>
  </r>
  <r>
    <x v="10"/>
    <s v="2026-03-07 18:00:00"/>
    <s v="1 hour"/>
    <s v="373"/>
    <s v="RNC_ZTE_Messamendongo(373)"/>
    <s v="373"/>
    <s v="RNC_ZTE_Messamendongo(373)"/>
    <s v="10468"/>
    <x v="0"/>
    <n v="100"/>
    <n v="1"/>
    <n v="43.26"/>
    <n v="3.6846000000000001"/>
    <n v="99.69"/>
    <n v="99.839999999999989"/>
    <n v="0.99850000000000005"/>
    <n v="0.99870000000000003"/>
    <n v="0.04"/>
    <n v="6.9999999999999993E-2"/>
    <n v="0"/>
    <n v="0"/>
    <n v="0"/>
    <n v="0"/>
    <n v="0.48299999999999998"/>
    <n v="0.17299999999999999"/>
    <n v="-10.89"/>
    <n v="-97.22"/>
    <n v="0.99960000000000004"/>
    <m/>
    <n v="0.85709999999999997"/>
    <n v="1.1999999999999999E-3"/>
    <n v="5.0000000000000001E-4"/>
    <n v="0"/>
    <n v="0"/>
    <n v="22"/>
    <n v="0.99990000000000001"/>
    <n v="789501600"/>
    <n v="52.58"/>
    <n v="223.80770000000001"/>
    <n v="790.24149999999997"/>
  </r>
  <r>
    <x v="10"/>
    <s v="2026-03-07 18:00:00"/>
    <s v="1 hour"/>
    <s v="373"/>
    <s v="RNC_ZTE_Messamendongo(373)"/>
    <s v="373"/>
    <s v="RNC_ZTE_Messamendongo(373)"/>
    <s v="10599"/>
    <x v="1"/>
    <n v="100"/>
    <n v="1"/>
    <n v="26.43"/>
    <n v="3.9443000000000001"/>
    <n v="99.72"/>
    <n v="99.75"/>
    <n v="0.99750000000000005"/>
    <n v="0.99760000000000004"/>
    <n v="0.12"/>
    <n v="0.05"/>
    <n v="0"/>
    <n v="0"/>
    <n v="0"/>
    <n v="0"/>
    <n v="0.36799999999999999"/>
    <n v="0.1346"/>
    <n v="-9.39"/>
    <n v="-98.41"/>
    <n v="0.99960000000000004"/>
    <m/>
    <n v="1"/>
    <n v="1.6000000000000001E-3"/>
    <n v="1.5E-3"/>
    <n v="0"/>
    <n v="0"/>
    <n v="54"/>
    <n v="0.99990000000000001"/>
    <n v="789501600"/>
    <n v="40.576700000000002"/>
    <n v="229.35169999999999"/>
    <n v="899.46249999999998"/>
  </r>
  <r>
    <x v="10"/>
    <s v="2026-03-07 18:00:00"/>
    <s v="1 hour"/>
    <s v="373"/>
    <s v="RNC_ZTE_Messamendongo(373)"/>
    <s v="373"/>
    <s v="RNC_ZTE_Messamendongo(373)"/>
    <s v="10900"/>
    <x v="2"/>
    <n v="100"/>
    <n v="1"/>
    <n v="28.66"/>
    <n v="3.2254"/>
    <n v="99.49"/>
    <n v="99.78"/>
    <n v="0.99790000000000001"/>
    <n v="0.99790000000000001"/>
    <n v="6.9999999999999993E-2"/>
    <n v="0.1"/>
    <n v="0"/>
    <n v="0"/>
    <n v="0"/>
    <n v="0"/>
    <n v="0.4758"/>
    <n v="0.16300000000000001"/>
    <n v="-9.48"/>
    <n v="-97.69"/>
    <n v="0.99960000000000004"/>
    <n v="100"/>
    <n v="0.87270000000000003"/>
    <n v="1.2999999999999999E-3"/>
    <n v="8.0000000000000004E-4"/>
    <n v="0"/>
    <n v="0"/>
    <n v="47"/>
    <n v="0.99960000000000004"/>
    <n v="789501600"/>
    <n v="43.185099999999998"/>
    <n v="216.70570000000001"/>
    <n v="694.41030000000001"/>
  </r>
  <r>
    <x v="10"/>
    <s v="2026-03-07 18:00:00"/>
    <s v="1 hour"/>
    <s v="374"/>
    <s v="RNC_ZTE_Mvogada_new(374)"/>
    <s v="374"/>
    <s v="RNC_ZTE_Mvogada_new(374)"/>
    <s v="10269"/>
    <x v="3"/>
    <n v="100"/>
    <n v="1"/>
    <n v="62.32"/>
    <n v="5.3049999999999997"/>
    <n v="99.72999999999999"/>
    <n v="99.86"/>
    <n v="0.99860000000000004"/>
    <n v="0.99860000000000004"/>
    <n v="0.05"/>
    <n v="6.9999999999999993E-2"/>
    <n v="0"/>
    <n v="0"/>
    <n v="0"/>
    <n v="0"/>
    <n v="0.62339999999999995"/>
    <n v="0.54400000000000004"/>
    <n v="-11.62"/>
    <n v="-94.91"/>
    <n v="0.99960000000000004"/>
    <n v="0"/>
    <n v="0.75"/>
    <n v="1.9E-3"/>
    <n v="1.2999999999999999E-3"/>
    <n v="0"/>
    <n v="0"/>
    <n v="83"/>
    <n v="0.99990000000000001"/>
    <n v="789501600"/>
    <n v="87.061700000000002"/>
    <n v="365.2638"/>
    <n v="1153.7258999999999"/>
  </r>
  <r>
    <x v="10"/>
    <s v="2026-03-07 18:00:00"/>
    <s v="1 hour"/>
    <s v="374"/>
    <s v="RNC_ZTE_Mvogada_new(374)"/>
    <s v="374"/>
    <s v="RNC_ZTE_Mvogada_new(374)"/>
    <s v="10535"/>
    <x v="4"/>
    <n v="100"/>
    <n v="1"/>
    <n v="34.159999999999997"/>
    <n v="4.4433999999999996"/>
    <n v="99.63"/>
    <n v="99.87"/>
    <n v="0.99870000000000003"/>
    <n v="0.99880000000000002"/>
    <n v="0.13999999999999999"/>
    <n v="0.06"/>
    <n v="0"/>
    <n v="0"/>
    <n v="0"/>
    <n v="0"/>
    <n v="0.57069999999999999"/>
    <n v="0.29449999999999998"/>
    <n v="-10.65"/>
    <n v="-96.31"/>
    <n v="0.99970000000000003"/>
    <m/>
    <n v="1"/>
    <n v="2.3999999999999998E-3"/>
    <n v="4.4000000000000003E-3"/>
    <n v="0"/>
    <n v="0"/>
    <n v="30"/>
    <n v="1"/>
    <n v="789501600"/>
    <n v="55.14"/>
    <n v="309.55970000000002"/>
    <n v="954.62729999999999"/>
  </r>
  <r>
    <x v="10"/>
    <s v="2026-03-07 18:00:00"/>
    <s v="1 hour"/>
    <s v="374"/>
    <s v="RNC_ZTE_Mvogada_new(374)"/>
    <s v="374"/>
    <s v="RNC_ZTE_Mvogada_new(374)"/>
    <s v="1057"/>
    <x v="5"/>
    <n v="100"/>
    <n v="1"/>
    <n v="69.78"/>
    <n v="5.3072999999999997"/>
    <n v="99.86"/>
    <n v="99.83"/>
    <n v="0.99839999999999995"/>
    <n v="0.99839999999999995"/>
    <n v="0.06"/>
    <n v="0.08"/>
    <n v="0"/>
    <n v="0"/>
    <n v="0"/>
    <n v="0"/>
    <n v="0.75690000000000002"/>
    <n v="0.48780000000000001"/>
    <n v="-11.55"/>
    <n v="-92.81"/>
    <n v="0.99970000000000003"/>
    <m/>
    <n v="0.871"/>
    <n v="3.7000000000000002E-3"/>
    <n v="8.9999999999999993E-3"/>
    <n v="0"/>
    <n v="0"/>
    <n v="47"/>
    <n v="1"/>
    <n v="789501600"/>
    <n v="87.9666"/>
    <n v="378.85860000000002"/>
    <n v="1117.2027"/>
  </r>
  <r>
    <x v="10"/>
    <s v="2026-03-07 18:00:00"/>
    <s v="1 hour"/>
    <s v="374"/>
    <s v="RNC_ZTE_Mvogada_new(374)"/>
    <s v="374"/>
    <s v="RNC_ZTE_Mvogada_new(374)"/>
    <s v="10726"/>
    <x v="6"/>
    <n v="100"/>
    <n v="1"/>
    <n v="34.840000000000003"/>
    <n v="5.5019999999999998"/>
    <n v="99.77000000000001"/>
    <n v="99.839999999999989"/>
    <n v="0.99839999999999995"/>
    <n v="0.99850000000000005"/>
    <n v="0"/>
    <n v="0.04"/>
    <n v="0"/>
    <n v="0"/>
    <n v="0"/>
    <n v="0"/>
    <n v="0.54749999999999999"/>
    <n v="0.35930000000000001"/>
    <n v="-10"/>
    <n v="-99.55"/>
    <n v="0.99960000000000004"/>
    <m/>
    <n v="0.83330000000000004"/>
    <n v="1.2999999999999999E-3"/>
    <n v="8.0000000000000004E-4"/>
    <n v="0"/>
    <n v="0"/>
    <n v="24"/>
    <n v="1"/>
    <n v="789501600"/>
    <n v="55.64"/>
    <n v="344.82580000000002"/>
    <n v="1208.9048"/>
  </r>
  <r>
    <x v="11"/>
    <s v="2026-03-07 19:00:00"/>
    <s v="1 hour"/>
    <s v="373"/>
    <s v="RNC_ZTE_Messamendongo(373)"/>
    <s v="373"/>
    <s v="RNC_ZTE_Messamendongo(373)"/>
    <s v="10468"/>
    <x v="0"/>
    <n v="100"/>
    <n v="1"/>
    <n v="33.32"/>
    <n v="4.9996"/>
    <n v="99.8"/>
    <n v="99.88"/>
    <n v="0.99890000000000001"/>
    <n v="0.99880000000000002"/>
    <n v="0"/>
    <n v="0.05"/>
    <n v="0"/>
    <n v="0"/>
    <n v="0"/>
    <n v="0"/>
    <n v="0.60089999999999999"/>
    <n v="0.1772"/>
    <n v="-11.29"/>
    <n v="-97.31"/>
    <n v="0.99970000000000003"/>
    <m/>
    <n v="1"/>
    <n v="1.1999999999999999E-3"/>
    <n v="1E-4"/>
    <n v="0"/>
    <n v="0"/>
    <n v="30"/>
    <n v="0.99990000000000001"/>
    <n v="789501600"/>
    <n v="54.09"/>
    <n v="244.32310000000001"/>
    <n v="1161.0102999999999"/>
  </r>
  <r>
    <x v="11"/>
    <s v="2026-03-07 19:00:00"/>
    <s v="1 hour"/>
    <s v="373"/>
    <s v="RNC_ZTE_Messamendongo(373)"/>
    <s v="373"/>
    <s v="RNC_ZTE_Messamendongo(373)"/>
    <s v="10599"/>
    <x v="1"/>
    <n v="100"/>
    <n v="1"/>
    <n v="28.11"/>
    <n v="2.8978999999999999"/>
    <n v="99.88"/>
    <n v="99.88"/>
    <n v="0.99880000000000002"/>
    <n v="0.99880000000000002"/>
    <n v="0"/>
    <n v="0.11"/>
    <n v="0"/>
    <n v="0"/>
    <n v="0"/>
    <n v="0"/>
    <n v="0.3382"/>
    <n v="0.1426"/>
    <n v="-9.19"/>
    <n v="-98.58"/>
    <n v="0.99980000000000002"/>
    <m/>
    <n v="0.5"/>
    <n v="1.5E-3"/>
    <n v="2.0000000000000001E-4"/>
    <n v="0"/>
    <n v="0"/>
    <n v="56"/>
    <n v="0.99990000000000001"/>
    <n v="789501600"/>
    <n v="41.721699999999998"/>
    <n v="217.25890000000001"/>
    <n v="594.5566"/>
  </r>
  <r>
    <x v="11"/>
    <s v="2026-03-07 19:00:00"/>
    <s v="1 hour"/>
    <s v="373"/>
    <s v="RNC_ZTE_Messamendongo(373)"/>
    <s v="373"/>
    <s v="RNC_ZTE_Messamendongo(373)"/>
    <s v="10900"/>
    <x v="2"/>
    <n v="100"/>
    <n v="1"/>
    <n v="24.82"/>
    <n v="3.1219999999999999"/>
    <n v="99.51"/>
    <n v="99.72999999999999"/>
    <n v="0.99729999999999996"/>
    <n v="0.99760000000000004"/>
    <n v="6.9999999999999993E-2"/>
    <n v="0.1"/>
    <n v="0"/>
    <n v="0"/>
    <n v="0"/>
    <n v="0"/>
    <n v="0.46960000000000002"/>
    <n v="0.17050000000000001"/>
    <n v="-9.43"/>
    <n v="-97.79"/>
    <n v="0.99929999999999997"/>
    <n v="94.12"/>
    <n v="0.93179999999999996"/>
    <n v="1.6000000000000001E-3"/>
    <n v="8.9999999999999998E-4"/>
    <n v="0"/>
    <n v="0"/>
    <n v="38"/>
    <n v="0.99960000000000004"/>
    <n v="789501600"/>
    <n v="42.2117"/>
    <n v="237.5462"/>
    <n v="653.97630000000004"/>
  </r>
  <r>
    <x v="11"/>
    <s v="2026-03-07 19:00:00"/>
    <s v="1 hour"/>
    <s v="374"/>
    <s v="RNC_ZTE_Mvogada_new(374)"/>
    <s v="374"/>
    <s v="RNC_ZTE_Mvogada_new(374)"/>
    <s v="10269"/>
    <x v="3"/>
    <n v="100"/>
    <n v="1"/>
    <n v="67.27"/>
    <n v="5.6984000000000004"/>
    <n v="99.64"/>
    <n v="99.83"/>
    <n v="0.99839999999999995"/>
    <n v="0.99839999999999995"/>
    <n v="0.02"/>
    <n v="0.09"/>
    <n v="0"/>
    <n v="0"/>
    <n v="0"/>
    <n v="0"/>
    <n v="0.64770000000000005"/>
    <n v="0.53249999999999997"/>
    <n v="-11.92"/>
    <n v="-94.59"/>
    <n v="0.99950000000000006"/>
    <n v="80"/>
    <n v="1"/>
    <n v="2.2000000000000001E-3"/>
    <n v="2.0999999999999999E-3"/>
    <n v="0"/>
    <n v="0"/>
    <n v="89"/>
    <n v="0.99990000000000001"/>
    <n v="789501600"/>
    <n v="100.33839999999999"/>
    <n v="402.26560000000001"/>
    <n v="1231.0898999999999"/>
  </r>
  <r>
    <x v="11"/>
    <s v="2026-03-07 19:00:00"/>
    <s v="1 hour"/>
    <s v="374"/>
    <s v="RNC_ZTE_Mvogada_new(374)"/>
    <s v="374"/>
    <s v="RNC_ZTE_Mvogada_new(374)"/>
    <s v="10535"/>
    <x v="4"/>
    <n v="100"/>
    <n v="1"/>
    <n v="35.119999999999997"/>
    <n v="4.8600000000000003"/>
    <n v="99.69"/>
    <n v="99.78"/>
    <n v="0.99780000000000002"/>
    <n v="0.998"/>
    <n v="0"/>
    <n v="0.06"/>
    <n v="0"/>
    <n v="0"/>
    <n v="0"/>
    <n v="0"/>
    <n v="0.64810000000000001"/>
    <n v="0.32300000000000001"/>
    <n v="-11.27"/>
    <n v="-96.54"/>
    <n v="0.99970000000000003"/>
    <m/>
    <n v="1"/>
    <n v="2.0999999999999999E-3"/>
    <n v="4.4999999999999997E-3"/>
    <n v="0"/>
    <n v="0"/>
    <n v="38"/>
    <n v="1"/>
    <n v="789501600"/>
    <n v="59.721699999999998"/>
    <n v="270.1001"/>
    <n v="1103.4675"/>
  </r>
  <r>
    <x v="11"/>
    <s v="2026-03-07 19:00:00"/>
    <s v="1 hour"/>
    <s v="374"/>
    <s v="RNC_ZTE_Mvogada_new(374)"/>
    <s v="374"/>
    <s v="RNC_ZTE_Mvogada_new(374)"/>
    <s v="1057"/>
    <x v="5"/>
    <n v="100"/>
    <n v="1"/>
    <n v="72.2"/>
    <n v="5.1262999999999996"/>
    <n v="99.82"/>
    <n v="99.87"/>
    <n v="0.99870000000000003"/>
    <n v="0.99880000000000002"/>
    <n v="0.04"/>
    <n v="6.9999999999999993E-2"/>
    <n v="0"/>
    <n v="0"/>
    <n v="0"/>
    <n v="0"/>
    <n v="0.70879999999999999"/>
    <n v="0.4672"/>
    <n v="-11.19"/>
    <n v="-93.3"/>
    <n v="0.99970000000000003"/>
    <m/>
    <n v="1"/>
    <n v="3.5000000000000001E-3"/>
    <n v="1.03E-2"/>
    <n v="0"/>
    <n v="0"/>
    <n v="38"/>
    <n v="1"/>
    <n v="789501600"/>
    <n v="86.29"/>
    <n v="347.27940000000001"/>
    <n v="1101.836"/>
  </r>
  <r>
    <x v="11"/>
    <s v="2026-03-07 19:00:00"/>
    <s v="1 hour"/>
    <s v="374"/>
    <s v="RNC_ZTE_Mvogada_new(374)"/>
    <s v="374"/>
    <s v="RNC_ZTE_Mvogada_new(374)"/>
    <s v="10726"/>
    <x v="6"/>
    <n v="100"/>
    <n v="1"/>
    <n v="42.03"/>
    <n v="5.2382"/>
    <n v="99.850000000000009"/>
    <n v="99.839999999999989"/>
    <n v="0.99839999999999995"/>
    <n v="0.99839999999999995"/>
    <n v="0"/>
    <n v="0.05"/>
    <n v="1"/>
    <n v="0"/>
    <n v="0"/>
    <n v="0"/>
    <n v="0.54810000000000003"/>
    <n v="0.39789999999999998"/>
    <n v="-10.06"/>
    <n v="-99.5"/>
    <n v="0.99970000000000003"/>
    <m/>
    <n v="1"/>
    <n v="1.2999999999999999E-3"/>
    <n v="8.0000000000000004E-4"/>
    <n v="0"/>
    <n v="0"/>
    <n v="28"/>
    <n v="1"/>
    <n v="789501600"/>
    <n v="60.005000000000003"/>
    <n v="293.19459999999998"/>
    <n v="1178.9023"/>
  </r>
  <r>
    <x v="12"/>
    <s v="2026-03-07 20:00:00"/>
    <s v="1 hour"/>
    <s v="373"/>
    <s v="RNC_ZTE_Messamendongo(373)"/>
    <s v="373"/>
    <s v="RNC_ZTE_Messamendongo(373)"/>
    <s v="10468"/>
    <x v="0"/>
    <n v="100"/>
    <n v="1"/>
    <n v="40.49"/>
    <n v="3.9106000000000001"/>
    <n v="99.77000000000001"/>
    <n v="99.570000000000007"/>
    <n v="0.99570000000000003"/>
    <n v="0.99570000000000003"/>
    <n v="0.04"/>
    <n v="0.13"/>
    <n v="0"/>
    <n v="0"/>
    <n v="0"/>
    <n v="0"/>
    <n v="0.54120000000000001"/>
    <n v="0.1852"/>
    <n v="-11.34"/>
    <n v="-96.2"/>
    <n v="0.99980000000000002"/>
    <n v="100"/>
    <n v="0.75"/>
    <n v="1.4E-3"/>
    <n v="5.0000000000000001E-4"/>
    <n v="0"/>
    <n v="0"/>
    <n v="60"/>
    <n v="0.99990000000000001"/>
    <n v="789501600"/>
    <n v="62.396799999999999"/>
    <n v="279.4332"/>
    <n v="831.51610000000005"/>
  </r>
  <r>
    <x v="12"/>
    <s v="2026-03-07 20:00:00"/>
    <s v="1 hour"/>
    <s v="373"/>
    <s v="RNC_ZTE_Messamendongo(373)"/>
    <s v="373"/>
    <s v="RNC_ZTE_Messamendongo(373)"/>
    <s v="10599"/>
    <x v="1"/>
    <n v="100"/>
    <n v="1"/>
    <n v="31.15"/>
    <n v="3.5426000000000002"/>
    <n v="99.6"/>
    <n v="99.72"/>
    <n v="0.99719999999999998"/>
    <n v="0.99709999999999999"/>
    <n v="0.05"/>
    <n v="0.1"/>
    <n v="0"/>
    <n v="0"/>
    <n v="0"/>
    <n v="0"/>
    <n v="0.39100000000000001"/>
    <n v="0.1363"/>
    <n v="-9.68"/>
    <n v="-97.9"/>
    <n v="0.99980000000000002"/>
    <m/>
    <n v="1"/>
    <n v="1.6999999999999999E-3"/>
    <n v="4.0000000000000002E-4"/>
    <n v="0"/>
    <n v="0"/>
    <n v="66"/>
    <n v="0.99990000000000001"/>
    <n v="789501600"/>
    <n v="48.478299999999997"/>
    <n v="200.4366"/>
    <n v="799.18299999999999"/>
  </r>
  <r>
    <x v="12"/>
    <s v="2026-03-07 20:00:00"/>
    <s v="1 hour"/>
    <s v="373"/>
    <s v="RNC_ZTE_Messamendongo(373)"/>
    <s v="373"/>
    <s v="RNC_ZTE_Messamendongo(373)"/>
    <s v="10900"/>
    <x v="2"/>
    <n v="100"/>
    <n v="1"/>
    <n v="29.2"/>
    <n v="3.7370000000000001"/>
    <n v="99.75"/>
    <n v="99.8"/>
    <n v="0.998"/>
    <n v="0.998"/>
    <n v="0"/>
    <n v="0.1"/>
    <n v="0"/>
    <n v="0"/>
    <n v="0"/>
    <n v="0"/>
    <n v="0.57030000000000003"/>
    <n v="0.19139999999999999"/>
    <n v="-9.9600000000000009"/>
    <n v="-97.17"/>
    <n v="0.99929999999999997"/>
    <n v="88"/>
    <n v="0.90480000000000005"/>
    <n v="1.6999999999999999E-3"/>
    <n v="2.9999999999999997E-4"/>
    <n v="0"/>
    <n v="0"/>
    <n v="40"/>
    <n v="0.99970000000000003"/>
    <n v="789501600"/>
    <n v="46.308399999999999"/>
    <n v="208.7405"/>
    <n v="859.56899999999996"/>
  </r>
  <r>
    <x v="12"/>
    <s v="2026-03-07 20:00:00"/>
    <s v="1 hour"/>
    <s v="374"/>
    <s v="RNC_ZTE_Mvogada_new(374)"/>
    <s v="374"/>
    <s v="RNC_ZTE_Mvogada_new(374)"/>
    <s v="10269"/>
    <x v="3"/>
    <n v="100"/>
    <n v="1"/>
    <n v="71.010000000000005"/>
    <n v="5.7915999999999999"/>
    <n v="99.539999999999992"/>
    <n v="99.82"/>
    <n v="0.99809999999999999"/>
    <n v="0.99809999999999999"/>
    <n v="0.12"/>
    <n v="0.15"/>
    <n v="0"/>
    <n v="0"/>
    <n v="0"/>
    <n v="0"/>
    <n v="0.71660000000000001"/>
    <n v="0.53210000000000002"/>
    <n v="-12.45"/>
    <n v="-94.19"/>
    <n v="0.99890000000000001"/>
    <n v="0"/>
    <n v="0.75"/>
    <n v="2E-3"/>
    <n v="2.5000000000000001E-3"/>
    <n v="0"/>
    <n v="0"/>
    <n v="76"/>
    <n v="0.99990000000000001"/>
    <n v="789501600"/>
    <n v="107.4567"/>
    <n v="410.04340000000002"/>
    <n v="1255.2795000000001"/>
  </r>
  <r>
    <x v="12"/>
    <s v="2026-03-07 20:00:00"/>
    <s v="1 hour"/>
    <s v="374"/>
    <s v="RNC_ZTE_Mvogada_new(374)"/>
    <s v="374"/>
    <s v="RNC_ZTE_Mvogada_new(374)"/>
    <s v="10535"/>
    <x v="4"/>
    <n v="100"/>
    <n v="1"/>
    <n v="44.15"/>
    <n v="4.1338999999999997"/>
    <n v="99.660000000000011"/>
    <n v="99.86"/>
    <n v="0.99850000000000005"/>
    <n v="0.99870000000000003"/>
    <n v="0.04"/>
    <n v="6.9999999999999993E-2"/>
    <n v="0"/>
    <n v="0"/>
    <n v="0"/>
    <n v="0"/>
    <n v="0.65590000000000004"/>
    <n v="0.29649999999999999"/>
    <n v="-11.39"/>
    <n v="-96.01"/>
    <n v="0.99980000000000002"/>
    <m/>
    <n v="0.5"/>
    <n v="2.0999999999999999E-3"/>
    <n v="4.1000000000000003E-3"/>
    <n v="0"/>
    <n v="0"/>
    <n v="44"/>
    <n v="1"/>
    <n v="789501600"/>
    <n v="61.241799999999998"/>
    <n v="266.44099999999997"/>
    <n v="905.98339999999996"/>
  </r>
  <r>
    <x v="12"/>
    <s v="2026-03-07 20:00:00"/>
    <s v="1 hour"/>
    <s v="374"/>
    <s v="RNC_ZTE_Mvogada_new(374)"/>
    <s v="374"/>
    <s v="RNC_ZTE_Mvogada_new(374)"/>
    <s v="1057"/>
    <x v="5"/>
    <n v="100"/>
    <n v="1"/>
    <n v="65.11"/>
    <n v="5.3319999999999999"/>
    <n v="99.81"/>
    <n v="99.83"/>
    <n v="0.99829999999999997"/>
    <n v="0.99829999999999997"/>
    <n v="0.04"/>
    <n v="0.06"/>
    <n v="0"/>
    <n v="0"/>
    <n v="0"/>
    <n v="0"/>
    <n v="0.75580000000000003"/>
    <n v="0.45069999999999999"/>
    <n v="-11.35"/>
    <n v="-93.01"/>
    <n v="0.99970000000000003"/>
    <m/>
    <n v="0.9"/>
    <n v="3.5999999999999999E-3"/>
    <n v="9.7999999999999997E-3"/>
    <n v="0"/>
    <n v="0"/>
    <n v="30"/>
    <n v="1"/>
    <n v="789501600"/>
    <n v="81.474999999999994"/>
    <n v="324.27789999999999"/>
    <n v="1178.5272"/>
  </r>
  <r>
    <x v="12"/>
    <s v="2026-03-07 20:00:00"/>
    <s v="1 hour"/>
    <s v="374"/>
    <s v="RNC_ZTE_Mvogada_new(374)"/>
    <s v="374"/>
    <s v="RNC_ZTE_Mvogada_new(374)"/>
    <s v="10726"/>
    <x v="6"/>
    <n v="100"/>
    <n v="1"/>
    <n v="46.27"/>
    <n v="6.2140000000000004"/>
    <n v="99.79"/>
    <n v="99.87"/>
    <n v="0.99870000000000003"/>
    <n v="0.99870000000000003"/>
    <n v="0"/>
    <n v="0.05"/>
    <n v="0"/>
    <n v="0"/>
    <n v="0"/>
    <n v="0"/>
    <n v="0.64129999999999998"/>
    <n v="0.39129999999999998"/>
    <n v="-10.65"/>
    <n v="-98.35"/>
    <n v="0.99939999999999996"/>
    <n v="100"/>
    <n v="1"/>
    <n v="1.5E-3"/>
    <n v="5.0000000000000001E-4"/>
    <n v="0"/>
    <n v="0"/>
    <n v="36"/>
    <n v="1"/>
    <n v="789501600"/>
    <n v="64.663300000000007"/>
    <n v="444.47219999999999"/>
    <n v="1287.7872"/>
  </r>
  <r>
    <x v="13"/>
    <s v="2026-03-07 21:00:00"/>
    <s v="1 hour"/>
    <s v="373"/>
    <s v="RNC_ZTE_Messamendongo(373)"/>
    <s v="373"/>
    <s v="RNC_ZTE_Messamendongo(373)"/>
    <s v="10468"/>
    <x v="0"/>
    <n v="100"/>
    <n v="1"/>
    <n v="41.84"/>
    <n v="4.5778999999999996"/>
    <n v="99.62"/>
    <n v="99.75"/>
    <n v="0.99750000000000005"/>
    <n v="0.99770000000000003"/>
    <n v="0.13999999999999999"/>
    <n v="0.1"/>
    <n v="0"/>
    <n v="0"/>
    <n v="0"/>
    <n v="0"/>
    <n v="0.54990000000000006"/>
    <n v="0.1867"/>
    <n v="-11.3"/>
    <n v="-96.19"/>
    <n v="0.99950000000000006"/>
    <n v="100"/>
    <n v="0.875"/>
    <n v="1.4E-3"/>
    <n v="2.0000000000000001E-4"/>
    <n v="0"/>
    <n v="0"/>
    <n v="72"/>
    <n v="0.99990000000000001"/>
    <n v="789501600"/>
    <n v="59.93"/>
    <n v="304.0258"/>
    <n v="993.17619999999999"/>
  </r>
  <r>
    <x v="13"/>
    <s v="2026-03-07 21:00:00"/>
    <s v="1 hour"/>
    <s v="373"/>
    <s v="RNC_ZTE_Messamendongo(373)"/>
    <s v="373"/>
    <s v="RNC_ZTE_Messamendongo(373)"/>
    <s v="10599"/>
    <x v="1"/>
    <n v="100"/>
    <n v="1"/>
    <n v="31.99"/>
    <n v="3.9784000000000002"/>
    <n v="99.58"/>
    <n v="99.7"/>
    <n v="0.99680000000000002"/>
    <n v="0.99680000000000002"/>
    <n v="0.12"/>
    <n v="0.11"/>
    <n v="0"/>
    <n v="0"/>
    <n v="0"/>
    <n v="0"/>
    <n v="0.4335"/>
    <n v="0.14030000000000001"/>
    <n v="-9.91"/>
    <n v="-97.98"/>
    <n v="0.99970000000000003"/>
    <m/>
    <n v="1"/>
    <n v="1.6000000000000001E-3"/>
    <n v="5.9999999999999995E-4"/>
    <n v="0"/>
    <n v="0"/>
    <n v="56"/>
    <n v="0.99990000000000001"/>
    <n v="789501600"/>
    <n v="46.611800000000002"/>
    <n v="235.31819999999999"/>
    <n v="875.40350000000001"/>
  </r>
  <r>
    <x v="13"/>
    <s v="2026-03-07 21:00:00"/>
    <s v="1 hour"/>
    <s v="373"/>
    <s v="RNC_ZTE_Messamendongo(373)"/>
    <s v="373"/>
    <s v="RNC_ZTE_Messamendongo(373)"/>
    <s v="10900"/>
    <x v="2"/>
    <n v="100"/>
    <n v="1"/>
    <n v="29.36"/>
    <n v="4.1509"/>
    <n v="99.7"/>
    <n v="99.75"/>
    <n v="0.99750000000000005"/>
    <n v="0.99770000000000003"/>
    <n v="6.9999999999999993E-2"/>
    <n v="0.11"/>
    <n v="0"/>
    <n v="0"/>
    <n v="0"/>
    <n v="0"/>
    <n v="0.60089999999999999"/>
    <n v="0.18729999999999999"/>
    <n v="-10.24"/>
    <n v="-97.23"/>
    <n v="0.99960000000000004"/>
    <n v="88.46"/>
    <n v="0.97670000000000001"/>
    <n v="1.5E-3"/>
    <n v="2.0000000000000001E-4"/>
    <n v="0"/>
    <n v="0"/>
    <n v="34"/>
    <n v="0.99970000000000003"/>
    <n v="789501600"/>
    <n v="46.22"/>
    <n v="201.3871"/>
    <n v="966.43439999999998"/>
  </r>
  <r>
    <x v="13"/>
    <s v="2026-03-07 21:00:00"/>
    <s v="1 hour"/>
    <s v="374"/>
    <s v="RNC_ZTE_Mvogada_new(374)"/>
    <s v="374"/>
    <s v="RNC_ZTE_Mvogada_new(374)"/>
    <s v="10269"/>
    <x v="3"/>
    <n v="100"/>
    <n v="1"/>
    <n v="75.05"/>
    <n v="6.0044000000000004"/>
    <n v="99.570000000000007"/>
    <n v="99.82"/>
    <n v="0.99819999999999998"/>
    <n v="0.99819999999999998"/>
    <n v="0.05"/>
    <n v="0.12"/>
    <n v="0"/>
    <n v="0"/>
    <n v="0"/>
    <n v="0"/>
    <n v="0.69630000000000003"/>
    <n v="0.60350000000000004"/>
    <n v="-12.14"/>
    <n v="-93.7"/>
    <n v="0.99950000000000006"/>
    <n v="100"/>
    <n v="1"/>
    <n v="2.8E-3"/>
    <n v="3.8999999999999998E-3"/>
    <n v="0"/>
    <n v="0"/>
    <n v="102"/>
    <n v="0.99990000000000001"/>
    <n v="789501600"/>
    <n v="114.18"/>
    <n v="413.4855"/>
    <n v="1309.5742"/>
  </r>
  <r>
    <x v="13"/>
    <s v="2026-03-07 21:00:00"/>
    <s v="1 hour"/>
    <s v="374"/>
    <s v="RNC_ZTE_Mvogada_new(374)"/>
    <s v="374"/>
    <s v="RNC_ZTE_Mvogada_new(374)"/>
    <s v="10535"/>
    <x v="4"/>
    <n v="100"/>
    <n v="1"/>
    <n v="41.54"/>
    <n v="4.9032"/>
    <n v="99.460000000000008"/>
    <n v="99.83"/>
    <n v="0.99829999999999997"/>
    <n v="0.99870000000000003"/>
    <n v="0.1"/>
    <n v="6.9999999999999993E-2"/>
    <n v="0"/>
    <n v="0"/>
    <n v="0"/>
    <n v="0"/>
    <n v="0.70860000000000001"/>
    <n v="0.33800000000000002"/>
    <n v="-11.43"/>
    <n v="-95.45"/>
    <n v="0.99960000000000004"/>
    <m/>
    <n v="1"/>
    <n v="2.5999999999999999E-3"/>
    <n v="8.3000000000000001E-3"/>
    <n v="0"/>
    <n v="0"/>
    <n v="36"/>
    <n v="1"/>
    <n v="789501600"/>
    <n v="63.506700000000002"/>
    <n v="287.43950000000001"/>
    <n v="1103.6256000000001"/>
  </r>
  <r>
    <x v="13"/>
    <s v="2026-03-07 21:00:00"/>
    <s v="1 hour"/>
    <s v="374"/>
    <s v="RNC_ZTE_Mvogada_new(374)"/>
    <s v="374"/>
    <s v="RNC_ZTE_Mvogada_new(374)"/>
    <s v="1057"/>
    <x v="5"/>
    <n v="100"/>
    <n v="1"/>
    <n v="51.77"/>
    <n v="6.1860999999999997"/>
    <n v="99.89"/>
    <n v="99.82"/>
    <n v="0.99819999999999998"/>
    <n v="0.99829999999999997"/>
    <n v="0.11"/>
    <n v="0.06"/>
    <n v="0"/>
    <n v="0"/>
    <n v="0"/>
    <n v="0"/>
    <n v="0.77159999999999995"/>
    <n v="0.44369999999999998"/>
    <n v="-11.46"/>
    <n v="-92.88"/>
    <n v="0.99980000000000002"/>
    <m/>
    <n v="0.94740000000000002"/>
    <n v="3.5999999999999999E-3"/>
    <n v="1.18E-2"/>
    <n v="0"/>
    <n v="0"/>
    <n v="38"/>
    <n v="1"/>
    <n v="789501600"/>
    <n v="76.061700000000002"/>
    <n v="373.46469999999999"/>
    <n v="1372.5824"/>
  </r>
  <r>
    <x v="13"/>
    <s v="2026-03-07 21:00:00"/>
    <s v="1 hour"/>
    <s v="374"/>
    <s v="RNC_ZTE_Mvogada_new(374)"/>
    <s v="374"/>
    <s v="RNC_ZTE_Mvogada_new(374)"/>
    <s v="10726"/>
    <x v="6"/>
    <n v="100"/>
    <n v="1"/>
    <n v="47.96"/>
    <n v="6.4264000000000001"/>
    <n v="99.76"/>
    <n v="99.83"/>
    <n v="0.99829999999999997"/>
    <n v="0.99829999999999997"/>
    <n v="0"/>
    <n v="0.05"/>
    <n v="0"/>
    <n v="0"/>
    <n v="0"/>
    <n v="0"/>
    <n v="0.65880000000000005"/>
    <n v="0.43190000000000001"/>
    <n v="-10.74"/>
    <n v="-97.92"/>
    <n v="0.99939999999999996"/>
    <m/>
    <n v="0.81820000000000004"/>
    <n v="1.6000000000000001E-3"/>
    <n v="5.9999999999999995E-4"/>
    <n v="0"/>
    <n v="0"/>
    <n v="37"/>
    <n v="1"/>
    <n v="789501600"/>
    <n v="71.349999999999994"/>
    <n v="457.4932"/>
    <n v="1337.8258000000001"/>
  </r>
  <r>
    <x v="14"/>
    <s v="2026-03-07 22:00:00"/>
    <s v="1 hour"/>
    <s v="373"/>
    <s v="RNC_ZTE_Messamendongo(373)"/>
    <s v="373"/>
    <s v="RNC_ZTE_Messamendongo(373)"/>
    <s v="10468"/>
    <x v="0"/>
    <n v="100"/>
    <n v="1"/>
    <n v="35"/>
    <n v="4.5080999999999998"/>
    <n v="99.76"/>
    <n v="99.78"/>
    <n v="0.99790000000000001"/>
    <n v="0.99790000000000001"/>
    <n v="0.12"/>
    <n v="0.09"/>
    <n v="0"/>
    <n v="0"/>
    <n v="0"/>
    <n v="0"/>
    <n v="0.52959999999999996"/>
    <n v="0.1699"/>
    <n v="-10.99"/>
    <n v="-97.14"/>
    <n v="0.99939999999999996"/>
    <n v="100"/>
    <n v="1"/>
    <n v="1.1999999999999999E-3"/>
    <n v="2.9999999999999997E-4"/>
    <n v="0"/>
    <n v="0"/>
    <n v="40"/>
    <n v="0.99990000000000001"/>
    <n v="789501600"/>
    <n v="53.7517"/>
    <n v="267.9033"/>
    <n v="1013.3202"/>
  </r>
  <r>
    <x v="14"/>
    <s v="2026-03-07 22:00:00"/>
    <s v="1 hour"/>
    <s v="373"/>
    <s v="RNC_ZTE_Messamendongo(373)"/>
    <s v="373"/>
    <s v="RNC_ZTE_Messamendongo(373)"/>
    <s v="10599"/>
    <x v="1"/>
    <n v="100"/>
    <n v="1"/>
    <n v="30.28"/>
    <n v="4.0327000000000002"/>
    <n v="99.79"/>
    <n v="99.8"/>
    <n v="0.998"/>
    <n v="0.99790000000000001"/>
    <n v="0.21"/>
    <n v="0.1"/>
    <n v="0"/>
    <n v="0"/>
    <n v="0"/>
    <n v="0"/>
    <n v="0.42449999999999999"/>
    <n v="0.12759999999999999"/>
    <n v="-9.94"/>
    <n v="-98.2"/>
    <n v="0.99960000000000004"/>
    <m/>
    <n v="1"/>
    <n v="1.4E-3"/>
    <n v="5.9999999999999995E-4"/>
    <n v="0"/>
    <n v="0"/>
    <n v="51"/>
    <n v="1"/>
    <n v="789501600"/>
    <n v="41.2883"/>
    <n v="219.2071"/>
    <n v="906.57320000000004"/>
  </r>
  <r>
    <x v="14"/>
    <s v="2026-03-07 22:00:00"/>
    <s v="1 hour"/>
    <s v="373"/>
    <s v="RNC_ZTE_Messamendongo(373)"/>
    <s v="373"/>
    <s v="RNC_ZTE_Messamendongo(373)"/>
    <s v="10900"/>
    <x v="2"/>
    <n v="100"/>
    <n v="1"/>
    <n v="25.88"/>
    <n v="5.2565"/>
    <n v="99.570000000000007"/>
    <n v="99.82"/>
    <n v="0.99809999999999999"/>
    <n v="0.99809999999999999"/>
    <n v="0.16999999999999998"/>
    <n v="0.09"/>
    <n v="0"/>
    <n v="0"/>
    <n v="0"/>
    <n v="0"/>
    <n v="0.63660000000000005"/>
    <n v="0.21079999999999999"/>
    <n v="-10.39"/>
    <n v="-97.5"/>
    <n v="0.99960000000000004"/>
    <n v="93.33"/>
    <n v="0.92"/>
    <n v="1.2999999999999999E-3"/>
    <n v="1E-4"/>
    <n v="0"/>
    <n v="0"/>
    <n v="24"/>
    <n v="0.99970000000000003"/>
    <n v="789501600"/>
    <n v="51.741700000000002"/>
    <n v="305.83629999999999"/>
    <n v="1177.7389000000001"/>
  </r>
  <r>
    <x v="14"/>
    <s v="2026-03-07 22:00:00"/>
    <s v="1 hour"/>
    <s v="374"/>
    <s v="RNC_ZTE_Mvogada_new(374)"/>
    <s v="374"/>
    <s v="RNC_ZTE_Mvogada_new(374)"/>
    <s v="10269"/>
    <x v="3"/>
    <n v="100"/>
    <n v="1"/>
    <n v="64.52"/>
    <n v="5.89"/>
    <n v="99.72999999999999"/>
    <n v="99.82"/>
    <n v="0.99819999999999998"/>
    <n v="0.99819999999999998"/>
    <n v="0.03"/>
    <n v="0.13999999999999999"/>
    <n v="0"/>
    <n v="0"/>
    <n v="0"/>
    <n v="0"/>
    <n v="0.68620000000000003"/>
    <n v="0.60509999999999997"/>
    <n v="-12.09"/>
    <n v="-93.95"/>
    <n v="0.99970000000000003"/>
    <n v="0"/>
    <n v="1"/>
    <n v="2.2000000000000001E-3"/>
    <n v="1.6999999999999999E-3"/>
    <n v="0"/>
    <n v="0"/>
    <n v="68"/>
    <n v="0.99990000000000001"/>
    <n v="789501600"/>
    <n v="115.5617"/>
    <n v="455.23950000000002"/>
    <n v="1244.8625"/>
  </r>
  <r>
    <x v="14"/>
    <s v="2026-03-07 22:00:00"/>
    <s v="1 hour"/>
    <s v="374"/>
    <s v="RNC_ZTE_Mvogada_new(374)"/>
    <s v="374"/>
    <s v="RNC_ZTE_Mvogada_new(374)"/>
    <s v="10535"/>
    <x v="4"/>
    <n v="100"/>
    <n v="1"/>
    <n v="29.01"/>
    <n v="4.6748000000000003"/>
    <n v="99.52"/>
    <n v="99.88"/>
    <n v="0.99880000000000002"/>
    <n v="0.99880000000000002"/>
    <n v="0.12"/>
    <n v="0.08"/>
    <n v="0"/>
    <n v="0"/>
    <n v="0"/>
    <n v="0"/>
    <n v="0.68079999999999996"/>
    <n v="0.34200000000000003"/>
    <n v="-11.31"/>
    <n v="-95.15"/>
    <n v="0.99970000000000003"/>
    <m/>
    <n v="1"/>
    <n v="2.0999999999999999E-3"/>
    <n v="6.1000000000000004E-3"/>
    <n v="0"/>
    <n v="0"/>
    <n v="45"/>
    <n v="1"/>
    <n v="789501600"/>
    <n v="62.22"/>
    <n v="297.26350000000002"/>
    <n v="1023.1902"/>
  </r>
  <r>
    <x v="14"/>
    <s v="2026-03-07 22:00:00"/>
    <s v="1 hour"/>
    <s v="374"/>
    <s v="RNC_ZTE_Mvogada_new(374)"/>
    <s v="374"/>
    <s v="RNC_ZTE_Mvogada_new(374)"/>
    <s v="1057"/>
    <x v="5"/>
    <n v="100"/>
    <n v="1"/>
    <n v="50.77"/>
    <n v="5.5389999999999997"/>
    <n v="99.86"/>
    <n v="99.86"/>
    <n v="0.99850000000000005"/>
    <n v="0.99850000000000005"/>
    <n v="0"/>
    <n v="0.06"/>
    <n v="0"/>
    <n v="0"/>
    <n v="0"/>
    <n v="0"/>
    <n v="0.67620000000000002"/>
    <n v="0.40560000000000002"/>
    <n v="-10.79"/>
    <n v="-94.12"/>
    <n v="0.99980000000000002"/>
    <m/>
    <n v="0.85709999999999997"/>
    <n v="3.0999999999999999E-3"/>
    <n v="9.9000000000000008E-3"/>
    <n v="0"/>
    <n v="0"/>
    <n v="22"/>
    <n v="1"/>
    <n v="789501600"/>
    <n v="67.456800000000001"/>
    <n v="363.41329999999999"/>
    <n v="1184.597"/>
  </r>
  <r>
    <x v="14"/>
    <s v="2026-03-07 22:00:00"/>
    <s v="1 hour"/>
    <s v="374"/>
    <s v="RNC_ZTE_Mvogada_new(374)"/>
    <s v="374"/>
    <s v="RNC_ZTE_Mvogada_new(374)"/>
    <s v="10726"/>
    <x v="6"/>
    <n v="100"/>
    <n v="1"/>
    <n v="35.56"/>
    <n v="7.0735999999999999"/>
    <n v="99.77000000000001"/>
    <n v="99.9"/>
    <n v="0.999"/>
    <n v="0.999"/>
    <n v="0.06"/>
    <n v="0.06"/>
    <n v="0"/>
    <n v="0"/>
    <n v="0"/>
    <n v="0"/>
    <n v="0.70820000000000005"/>
    <n v="0.43709999999999999"/>
    <n v="-11.29"/>
    <n v="-98.2"/>
    <n v="0.99970000000000003"/>
    <m/>
    <n v="0.66669999999999996"/>
    <n v="1.4E-3"/>
    <n v="3.3E-3"/>
    <n v="0"/>
    <n v="0"/>
    <n v="26"/>
    <n v="1"/>
    <n v="789501600"/>
    <n v="70.228300000000004"/>
    <n v="419.39760000000001"/>
    <n v="1565.0675000000001"/>
  </r>
  <r>
    <x v="15"/>
    <s v="2026-03-07 23:00:00"/>
    <s v="1 hour"/>
    <s v="373"/>
    <s v="RNC_ZTE_Messamendongo(373)"/>
    <s v="373"/>
    <s v="RNC_ZTE_Messamendongo(373)"/>
    <s v="10468"/>
    <x v="0"/>
    <n v="100"/>
    <n v="1"/>
    <n v="17.18"/>
    <n v="4.2709000000000001"/>
    <n v="99.56"/>
    <n v="99.8"/>
    <n v="0.998"/>
    <n v="0.998"/>
    <n v="0.11"/>
    <n v="0.06"/>
    <n v="0"/>
    <n v="0"/>
    <n v="0"/>
    <n v="0"/>
    <n v="0.46139999999999998"/>
    <n v="0.15579999999999999"/>
    <n v="-10.18"/>
    <n v="-98.48"/>
    <n v="0.99970000000000003"/>
    <m/>
    <n v="0.875"/>
    <n v="1.2999999999999999E-3"/>
    <n v="5.0000000000000001E-4"/>
    <n v="0"/>
    <n v="0"/>
    <n v="16"/>
    <n v="0.99990000000000001"/>
    <n v="789501600"/>
    <n v="41.456699999999998"/>
    <n v="201.9032"/>
    <n v="998.33119999999997"/>
  </r>
  <r>
    <x v="15"/>
    <s v="2026-03-07 23:00:00"/>
    <s v="1 hour"/>
    <s v="373"/>
    <s v="RNC_ZTE_Messamendongo(373)"/>
    <s v="373"/>
    <s v="RNC_ZTE_Messamendongo(373)"/>
    <s v="10599"/>
    <x v="1"/>
    <n v="100"/>
    <n v="1"/>
    <n v="18.13"/>
    <n v="3.3765999999999998"/>
    <n v="100"/>
    <n v="99.82"/>
    <n v="0.99819999999999998"/>
    <n v="0.99819999999999998"/>
    <n v="0.11"/>
    <n v="0.06"/>
    <n v="0"/>
    <n v="0"/>
    <n v="0"/>
    <n v="0"/>
    <n v="0.3921"/>
    <n v="0.13750000000000001"/>
    <n v="-9.39"/>
    <n v="-99.37"/>
    <n v="0.99960000000000004"/>
    <n v="100"/>
    <n v="0.28570000000000001"/>
    <n v="1.1000000000000001E-3"/>
    <n v="2.9999999999999997E-4"/>
    <n v="0"/>
    <n v="0"/>
    <n v="45"/>
    <n v="1"/>
    <n v="789501600"/>
    <n v="36.365000000000002"/>
    <n v="186.23349999999999"/>
    <n v="761.35590000000002"/>
  </r>
  <r>
    <x v="15"/>
    <s v="2026-03-07 23:00:00"/>
    <s v="1 hour"/>
    <s v="373"/>
    <s v="RNC_ZTE_Messamendongo(373)"/>
    <s v="373"/>
    <s v="RNC_ZTE_Messamendongo(373)"/>
    <s v="10900"/>
    <x v="2"/>
    <n v="100"/>
    <n v="1"/>
    <n v="20"/>
    <n v="4.4568000000000003"/>
    <n v="99.13"/>
    <n v="99.95"/>
    <n v="0.99950000000000006"/>
    <n v="0.99950000000000006"/>
    <n v="0.13"/>
    <n v="0.06"/>
    <n v="0"/>
    <n v="0"/>
    <n v="0"/>
    <n v="0"/>
    <n v="0.50819999999999999"/>
    <n v="0.2082"/>
    <n v="-9.4499999999999993"/>
    <n v="-98.61"/>
    <n v="0.99980000000000002"/>
    <n v="92.31"/>
    <n v="0.95"/>
    <n v="1.1999999999999999E-3"/>
    <n v="4.0000000000000002E-4"/>
    <n v="0"/>
    <n v="0"/>
    <n v="19"/>
    <n v="0.99950000000000006"/>
    <n v="789501600"/>
    <n v="43.828400000000002"/>
    <n v="192.5676"/>
    <n v="1065.4248"/>
  </r>
  <r>
    <x v="15"/>
    <s v="2026-03-07 23:00:00"/>
    <s v="1 hour"/>
    <s v="374"/>
    <s v="RNC_ZTE_Mvogada_new(374)"/>
    <s v="374"/>
    <s v="RNC_ZTE_Mvogada_new(374)"/>
    <s v="10269"/>
    <x v="3"/>
    <n v="100"/>
    <n v="1"/>
    <n v="50.7"/>
    <n v="6.7427000000000001"/>
    <n v="99.72"/>
    <n v="99.78"/>
    <n v="0.99780000000000002"/>
    <n v="0.99790000000000001"/>
    <n v="0.04"/>
    <n v="0.11"/>
    <n v="0"/>
    <n v="0"/>
    <n v="0"/>
    <n v="0"/>
    <n v="0.68659999999999999"/>
    <n v="0.56089999999999995"/>
    <n v="-12.1"/>
    <n v="-95.51"/>
    <n v="0.99939999999999996"/>
    <n v="50"/>
    <n v="1"/>
    <n v="1.8E-3"/>
    <n v="2E-3"/>
    <n v="0"/>
    <n v="0"/>
    <n v="79"/>
    <n v="0.99990000000000001"/>
    <n v="789501600"/>
    <n v="102.9034"/>
    <n v="500.73160000000001"/>
    <n v="1437.3657000000001"/>
  </r>
  <r>
    <x v="15"/>
    <s v="2026-03-07 23:00:00"/>
    <s v="1 hour"/>
    <s v="374"/>
    <s v="RNC_ZTE_Mvogada_new(374)"/>
    <s v="374"/>
    <s v="RNC_ZTE_Mvogada_new(374)"/>
    <s v="10535"/>
    <x v="4"/>
    <n v="100"/>
    <n v="1"/>
    <n v="25.79"/>
    <n v="4.9686000000000003"/>
    <n v="99.72999999999999"/>
    <n v="99.91"/>
    <n v="0.99909999999999999"/>
    <n v="0.99909999999999999"/>
    <n v="0"/>
    <n v="0.06"/>
    <n v="0"/>
    <n v="0"/>
    <n v="0"/>
    <n v="0"/>
    <n v="0.66249999999999998"/>
    <n v="0.35370000000000001"/>
    <n v="-11.05"/>
    <n v="-96.6"/>
    <n v="0.99990000000000001"/>
    <m/>
    <n v="1"/>
    <n v="1.9E-3"/>
    <n v="4.0000000000000001E-3"/>
    <n v="0"/>
    <n v="0"/>
    <n v="34"/>
    <n v="1"/>
    <n v="789501600"/>
    <n v="59.258400000000002"/>
    <n v="262.24779999999998"/>
    <n v="1143.9666"/>
  </r>
  <r>
    <x v="15"/>
    <s v="2026-03-07 23:00:00"/>
    <s v="1 hour"/>
    <s v="374"/>
    <s v="RNC_ZTE_Mvogada_new(374)"/>
    <s v="374"/>
    <s v="RNC_ZTE_Mvogada_new(374)"/>
    <s v="1057"/>
    <x v="5"/>
    <n v="100"/>
    <n v="1"/>
    <n v="33.72"/>
    <n v="4.8167"/>
    <n v="99.69"/>
    <n v="99.9"/>
    <n v="0.999"/>
    <n v="0.999"/>
    <n v="0"/>
    <n v="0.06"/>
    <n v="0"/>
    <n v="0"/>
    <n v="0"/>
    <n v="0"/>
    <n v="0.62980000000000003"/>
    <n v="0.39219999999999999"/>
    <n v="-10.07"/>
    <n v="-95.46"/>
    <n v="0.99980000000000002"/>
    <m/>
    <n v="0.75"/>
    <n v="2.8999999999999998E-3"/>
    <n v="8.9999999999999993E-3"/>
    <n v="0"/>
    <n v="0"/>
    <n v="16"/>
    <n v="1"/>
    <n v="789501600"/>
    <n v="54.5167"/>
    <n v="247.20050000000001"/>
    <n v="1090.8273999999999"/>
  </r>
  <r>
    <x v="15"/>
    <s v="2026-03-07 23:00:00"/>
    <s v="1 hour"/>
    <s v="374"/>
    <s v="RNC_ZTE_Mvogada_new(374)"/>
    <s v="374"/>
    <s v="RNC_ZTE_Mvogada_new(374)"/>
    <s v="10726"/>
    <x v="6"/>
    <n v="100"/>
    <n v="1"/>
    <n v="31.43"/>
    <n v="7.1200999999999999"/>
    <n v="99.7"/>
    <n v="99.88"/>
    <n v="0.99880000000000002"/>
    <n v="0.99880000000000002"/>
    <n v="0"/>
    <n v="0.05"/>
    <n v="0"/>
    <n v="0"/>
    <n v="0"/>
    <n v="0"/>
    <n v="0.67789999999999995"/>
    <n v="0.40970000000000001"/>
    <n v="-11.09"/>
    <n v="-99.6"/>
    <n v="0.99970000000000003"/>
    <n v="100"/>
    <n v="1"/>
    <n v="1.1000000000000001E-3"/>
    <n v="1E-3"/>
    <n v="0"/>
    <n v="0"/>
    <n v="26"/>
    <n v="1"/>
    <n v="789501600"/>
    <n v="57.638300000000001"/>
    <n v="314.93259999999998"/>
    <n v="1678.0092999999999"/>
  </r>
  <r>
    <x v="16"/>
    <s v="2026-03-08 00:00:00"/>
    <s v="1 hour"/>
    <s v="373"/>
    <s v="RNC_ZTE_Messamendongo(373)"/>
    <s v="373"/>
    <s v="RNC_ZTE_Messamendongo(373)"/>
    <s v="10468"/>
    <x v="0"/>
    <n v="100"/>
    <n v="1"/>
    <n v="10.37"/>
    <n v="3.2473000000000001"/>
    <n v="99.26"/>
    <n v="99.71"/>
    <n v="0.99709999999999999"/>
    <n v="0.99719999999999998"/>
    <n v="0.2"/>
    <n v="0.04"/>
    <n v="0"/>
    <n v="0"/>
    <n v="0"/>
    <n v="0"/>
    <n v="0.32350000000000001"/>
    <n v="0.12720000000000001"/>
    <n v="-8.9499999999999993"/>
    <n v="-99.7"/>
    <n v="0.99950000000000006"/>
    <m/>
    <n v="1"/>
    <n v="1E-3"/>
    <n v="2.9999999999999997E-4"/>
    <n v="0"/>
    <n v="0"/>
    <n v="16"/>
    <n v="0.99980000000000002"/>
    <n v="789501600"/>
    <n v="28.1"/>
    <n v="161.23689999999999"/>
    <n v="740.52599999999995"/>
  </r>
  <r>
    <x v="16"/>
    <s v="2026-03-08 00:00:00"/>
    <s v="1 hour"/>
    <s v="373"/>
    <s v="RNC_ZTE_Messamendongo(373)"/>
    <s v="373"/>
    <s v="RNC_ZTE_Messamendongo(373)"/>
    <s v="10599"/>
    <x v="1"/>
    <n v="100"/>
    <n v="1"/>
    <n v="15.93"/>
    <n v="2.1755"/>
    <n v="99.77000000000001"/>
    <n v="99.839999999999989"/>
    <n v="0.99839999999999995"/>
    <n v="0.99870000000000003"/>
    <n v="0"/>
    <n v="0.05"/>
    <n v="0"/>
    <n v="0"/>
    <n v="0"/>
    <n v="0"/>
    <n v="0.2646"/>
    <n v="0.1147"/>
    <n v="-8.17"/>
    <n v="-99.78"/>
    <n v="0.99960000000000004"/>
    <m/>
    <n v="1"/>
    <n v="1.6000000000000001E-3"/>
    <n v="0"/>
    <n v="0"/>
    <n v="0"/>
    <n v="29"/>
    <n v="1"/>
    <n v="789501600"/>
    <n v="25.085000000000001"/>
    <n v="92.142700000000005"/>
    <n v="516.29399999999998"/>
  </r>
  <r>
    <x v="16"/>
    <s v="2026-03-08 00:00:00"/>
    <s v="1 hour"/>
    <s v="373"/>
    <s v="RNC_ZTE_Messamendongo(373)"/>
    <s v="373"/>
    <s v="RNC_ZTE_Messamendongo(373)"/>
    <s v="10900"/>
    <x v="2"/>
    <n v="100"/>
    <n v="1"/>
    <n v="12"/>
    <n v="3.7896000000000001"/>
    <n v="99.42"/>
    <n v="99.9"/>
    <n v="0.999"/>
    <n v="0.999"/>
    <n v="0"/>
    <n v="0.06"/>
    <n v="0"/>
    <n v="0"/>
    <n v="0"/>
    <n v="0"/>
    <n v="0.41110000000000002"/>
    <n v="0.2082"/>
    <n v="-8.23"/>
    <n v="-99.45"/>
    <n v="0.99980000000000002"/>
    <n v="85.71"/>
    <n v="0.875"/>
    <n v="1E-3"/>
    <n v="5.0000000000000001E-4"/>
    <n v="0"/>
    <n v="0"/>
    <n v="19"/>
    <n v="0.99970000000000003"/>
    <n v="789501600"/>
    <n v="37.549999999999997"/>
    <n v="206.4323"/>
    <n v="849.94979999999998"/>
  </r>
  <r>
    <x v="16"/>
    <s v="2026-03-08 00:00:00"/>
    <s v="1 hour"/>
    <s v="374"/>
    <s v="RNC_ZTE_Mvogada_new(374)"/>
    <s v="374"/>
    <s v="RNC_ZTE_Mvogada_new(374)"/>
    <s v="10269"/>
    <x v="3"/>
    <n v="100"/>
    <n v="1"/>
    <n v="28.83"/>
    <n v="7.0145999999999997"/>
    <n v="99.550000000000011"/>
    <n v="99.86"/>
    <n v="0.99860000000000004"/>
    <n v="0.99860000000000004"/>
    <n v="6.9999999999999993E-2"/>
    <n v="0.08"/>
    <n v="0"/>
    <n v="0"/>
    <n v="0"/>
    <n v="0"/>
    <n v="0.63949999999999996"/>
    <n v="0.59"/>
    <n v="-11.8"/>
    <n v="-96.38"/>
    <n v="0.99960000000000004"/>
    <n v="100"/>
    <n v="1"/>
    <n v="1.8E-3"/>
    <n v="2.2000000000000001E-3"/>
    <n v="0"/>
    <n v="0"/>
    <n v="43"/>
    <n v="0.99990000000000001"/>
    <n v="789501600"/>
    <n v="80.538399999999996"/>
    <n v="475.52780000000001"/>
    <n v="1527.4892"/>
  </r>
  <r>
    <x v="16"/>
    <s v="2026-03-08 00:00:00"/>
    <s v="1 hour"/>
    <s v="374"/>
    <s v="RNC_ZTE_Mvogada_new(374)"/>
    <s v="374"/>
    <s v="RNC_ZTE_Mvogada_new(374)"/>
    <s v="10535"/>
    <x v="4"/>
    <n v="100"/>
    <n v="1"/>
    <n v="13.89"/>
    <n v="4.1063000000000001"/>
    <n v="99.83"/>
    <n v="99.929999999999993"/>
    <n v="0.99929999999999997"/>
    <n v="0.99929999999999997"/>
    <n v="0"/>
    <n v="0.05"/>
    <n v="0"/>
    <n v="0"/>
    <n v="0"/>
    <n v="0"/>
    <n v="0.52669999999999995"/>
    <n v="0.35749999999999998"/>
    <n v="-9.9600000000000009"/>
    <n v="-98.34"/>
    <n v="0.99970000000000003"/>
    <m/>
    <n v="1"/>
    <n v="1.8E-3"/>
    <n v="3.0999999999999999E-3"/>
    <n v="0"/>
    <n v="0"/>
    <n v="20"/>
    <n v="1"/>
    <n v="789501600"/>
    <n v="45.833500000000001"/>
    <n v="204.38130000000001"/>
    <n v="953.05589999999995"/>
  </r>
  <r>
    <x v="16"/>
    <s v="2026-03-08 00:00:00"/>
    <s v="1 hour"/>
    <s v="374"/>
    <s v="RNC_ZTE_Mvogada_new(374)"/>
    <s v="374"/>
    <s v="RNC_ZTE_Mvogada_new(374)"/>
    <s v="1057"/>
    <x v="5"/>
    <n v="100"/>
    <n v="1"/>
    <n v="23.36"/>
    <n v="4.7442000000000002"/>
    <n v="99.91"/>
    <n v="99.81"/>
    <n v="0.99819999999999998"/>
    <n v="0.99819999999999998"/>
    <n v="0.09"/>
    <n v="6.9999999999999993E-2"/>
    <n v="0"/>
    <n v="0"/>
    <n v="0"/>
    <n v="0"/>
    <n v="0.56079999999999997"/>
    <n v="0.27050000000000002"/>
    <n v="-9.15"/>
    <n v="-97.37"/>
    <n v="0.99970000000000003"/>
    <m/>
    <n v="0.88890000000000002"/>
    <n v="3.3E-3"/>
    <n v="1.0999999999999999E-2"/>
    <n v="0"/>
    <n v="0"/>
    <n v="10"/>
    <n v="1"/>
    <n v="789501600"/>
    <n v="37.848300000000002"/>
    <n v="190.62799999999999"/>
    <n v="1117.1876999999999"/>
  </r>
  <r>
    <x v="16"/>
    <s v="2026-03-08 00:00:00"/>
    <s v="1 hour"/>
    <s v="374"/>
    <s v="RNC_ZTE_Mvogada_new(374)"/>
    <s v="374"/>
    <s v="RNC_ZTE_Mvogada_new(374)"/>
    <s v="10726"/>
    <x v="6"/>
    <n v="100"/>
    <n v="1"/>
    <n v="24.08"/>
    <n v="5.3045"/>
    <n v="100"/>
    <n v="99.9"/>
    <n v="0.999"/>
    <n v="0.99909999999999999"/>
    <n v="0"/>
    <n v="0.04"/>
    <n v="0"/>
    <n v="0"/>
    <n v="0"/>
    <n v="0"/>
    <n v="0.50960000000000005"/>
    <n v="0.32990000000000003"/>
    <n v="-9.83"/>
    <n v="-101.45"/>
    <n v="0.99990000000000001"/>
    <m/>
    <n v="0.5"/>
    <n v="1E-3"/>
    <n v="2.0000000000000001E-4"/>
    <n v="0"/>
    <n v="0"/>
    <n v="27"/>
    <n v="1"/>
    <n v="789501600"/>
    <n v="44.346699999999998"/>
    <n v="214.51169999999999"/>
    <n v="1267.2192"/>
  </r>
  <r>
    <x v="17"/>
    <s v="2026-03-08 01:00:00"/>
    <s v="1 hour"/>
    <s v="373"/>
    <s v="RNC_ZTE_Messamendongo(373)"/>
    <s v="373"/>
    <s v="RNC_ZTE_Messamendongo(373)"/>
    <s v="10468"/>
    <x v="0"/>
    <n v="100"/>
    <n v="1"/>
    <n v="6.46"/>
    <n v="1.6031"/>
    <n v="100"/>
    <n v="99.9"/>
    <n v="0.999"/>
    <n v="0.999"/>
    <n v="0"/>
    <n v="0.02"/>
    <n v="0"/>
    <n v="0"/>
    <n v="0"/>
    <n v="0"/>
    <n v="0.19020000000000001"/>
    <n v="0.10340000000000001"/>
    <n v="-7.01"/>
    <n v="-100.72"/>
    <n v="0.99970000000000003"/>
    <m/>
    <n v="1"/>
    <n v="1.9E-3"/>
    <n v="1.34E-2"/>
    <n v="0"/>
    <n v="0"/>
    <n v="6"/>
    <n v="0.99980000000000002"/>
    <n v="789501600"/>
    <n v="18.700099999999999"/>
    <n v="117.91419999999999"/>
    <n v="338.58710000000002"/>
  </r>
  <r>
    <x v="17"/>
    <s v="2026-03-08 01:00:00"/>
    <s v="1 hour"/>
    <s v="373"/>
    <s v="RNC_ZTE_Messamendongo(373)"/>
    <s v="373"/>
    <s v="RNC_ZTE_Messamendongo(373)"/>
    <s v="10599"/>
    <x v="1"/>
    <n v="100"/>
    <n v="1"/>
    <n v="7.09"/>
    <n v="2.3856000000000002"/>
    <n v="100"/>
    <n v="99.850000000000009"/>
    <n v="0.99850000000000005"/>
    <n v="0.99850000000000005"/>
    <n v="0"/>
    <n v="0.09"/>
    <n v="0"/>
    <n v="0"/>
    <n v="0"/>
    <n v="0"/>
    <n v="0.2137"/>
    <n v="9.06E-2"/>
    <n v="-7.28"/>
    <n v="-101.55"/>
    <n v="0.99970000000000003"/>
    <m/>
    <n v="1"/>
    <n v="2.5999999999999999E-3"/>
    <n v="2.06E-2"/>
    <n v="0"/>
    <n v="0"/>
    <n v="18"/>
    <n v="0.99980000000000002"/>
    <n v="789501600"/>
    <n v="18.278300000000002"/>
    <n v="100.3013"/>
    <n v="559.81730000000005"/>
  </r>
  <r>
    <x v="17"/>
    <s v="2026-03-08 01:00:00"/>
    <s v="1 hour"/>
    <s v="373"/>
    <s v="RNC_ZTE_Messamendongo(373)"/>
    <s v="373"/>
    <s v="RNC_ZTE_Messamendongo(373)"/>
    <s v="10900"/>
    <x v="2"/>
    <n v="100"/>
    <n v="1"/>
    <n v="5.73"/>
    <n v="3.1570999999999998"/>
    <n v="99.29"/>
    <n v="99.91"/>
    <n v="0.99909999999999999"/>
    <n v="0.99909999999999999"/>
    <n v="0"/>
    <n v="0.04"/>
    <n v="0"/>
    <n v="0"/>
    <n v="0"/>
    <n v="0"/>
    <n v="0.30059999999999998"/>
    <n v="0.15859999999999999"/>
    <n v="-7.41"/>
    <n v="-99.85"/>
    <n v="1"/>
    <n v="50"/>
    <n v="0.75"/>
    <n v="2.3999999999999998E-3"/>
    <n v="8.6999999999999994E-3"/>
    <n v="0"/>
    <n v="0"/>
    <n v="13"/>
    <n v="1"/>
    <n v="789501600"/>
    <n v="28.453299999999999"/>
    <n v="155.5668"/>
    <n v="719.02520000000004"/>
  </r>
  <r>
    <x v="17"/>
    <s v="2026-03-08 01:00:00"/>
    <s v="1 hour"/>
    <s v="374"/>
    <s v="RNC_ZTE_Mvogada_new(374)"/>
    <s v="374"/>
    <s v="RNC_ZTE_Mvogada_new(374)"/>
    <s v="10269"/>
    <x v="3"/>
    <n v="100"/>
    <n v="1"/>
    <n v="12.58"/>
    <n v="4.9939"/>
    <n v="100"/>
    <n v="99.929999999999993"/>
    <n v="0.99929999999999997"/>
    <n v="0.99929999999999997"/>
    <n v="0"/>
    <n v="0.03"/>
    <n v="0"/>
    <n v="0"/>
    <n v="0"/>
    <n v="0"/>
    <n v="0.41799999999999998"/>
    <n v="0.51849999999999996"/>
    <n v="-10.02"/>
    <n v="-95.33"/>
    <n v="0.99990000000000001"/>
    <m/>
    <n v="1"/>
    <n v="3.0000000000000001E-3"/>
    <n v="1.3599999999999999E-2"/>
    <n v="0"/>
    <n v="0"/>
    <n v="32"/>
    <n v="0.99990000000000001"/>
    <n v="789501600"/>
    <n v="54.293399999999998"/>
    <n v="227.7715"/>
    <n v="1180.8163999999999"/>
  </r>
  <r>
    <x v="17"/>
    <s v="2026-03-08 01:00:00"/>
    <s v="1 hour"/>
    <s v="374"/>
    <s v="RNC_ZTE_Mvogada_new(374)"/>
    <s v="374"/>
    <s v="RNC_ZTE_Mvogada_new(374)"/>
    <s v="10535"/>
    <x v="4"/>
    <n v="100"/>
    <n v="1"/>
    <n v="6.34"/>
    <n v="3.069"/>
    <n v="99.7"/>
    <n v="99.929999999999993"/>
    <n v="0.99919999999999998"/>
    <n v="0.99919999999999998"/>
    <n v="0.32"/>
    <n v="0.02"/>
    <n v="0"/>
    <n v="0"/>
    <n v="0"/>
    <n v="0"/>
    <n v="0.44280000000000003"/>
    <n v="0.2465"/>
    <n v="-9.4499999999999993"/>
    <n v="-100.23"/>
    <n v="0.99980000000000002"/>
    <m/>
    <n v="1"/>
    <n v="5.0000000000000001E-3"/>
    <n v="1.7299999999999999E-2"/>
    <n v="0"/>
    <n v="0"/>
    <n v="12"/>
    <n v="1"/>
    <n v="789501600"/>
    <n v="29.29"/>
    <n v="129.72149999999999"/>
    <n v="718.44640000000004"/>
  </r>
  <r>
    <x v="17"/>
    <s v="2026-03-08 01:00:00"/>
    <s v="1 hour"/>
    <s v="374"/>
    <s v="RNC_ZTE_Mvogada_new(374)"/>
    <s v="374"/>
    <s v="RNC_ZTE_Mvogada_new(374)"/>
    <s v="1057"/>
    <x v="5"/>
    <n v="100"/>
    <n v="1"/>
    <n v="9.17"/>
    <n v="2.5398999999999998"/>
    <n v="100"/>
    <n v="99.68"/>
    <n v="0.99680000000000002"/>
    <n v="0.99690000000000001"/>
    <n v="0"/>
    <n v="0.16"/>
    <n v="0"/>
    <n v="0"/>
    <n v="0"/>
    <n v="0"/>
    <n v="0.33460000000000001"/>
    <n v="0.20349999999999999"/>
    <n v="-6.99"/>
    <n v="-98.94"/>
    <n v="0.99909999999999999"/>
    <m/>
    <n v="0.71430000000000005"/>
    <n v="3.0999999999999999E-3"/>
    <n v="1.7600000000000001E-2"/>
    <n v="0"/>
    <n v="0"/>
    <n v="4"/>
    <n v="1"/>
    <n v="789501600"/>
    <n v="21.978400000000001"/>
    <n v="91.507000000000005"/>
    <n v="596.84439999999995"/>
  </r>
  <r>
    <x v="17"/>
    <s v="2026-03-08 01:00:00"/>
    <s v="1 hour"/>
    <s v="374"/>
    <s v="RNC_ZTE_Mvogada_new(374)"/>
    <s v="374"/>
    <s v="RNC_ZTE_Mvogada_new(374)"/>
    <s v="10726"/>
    <x v="6"/>
    <n v="100"/>
    <n v="1"/>
    <n v="11.12"/>
    <n v="2.7753000000000001"/>
    <n v="100"/>
    <n v="99.92"/>
    <n v="0.99919999999999998"/>
    <n v="0.99919999999999998"/>
    <n v="0"/>
    <n v="0.06"/>
    <n v="0"/>
    <n v="0"/>
    <n v="0"/>
    <n v="0"/>
    <n v="0.29430000000000001"/>
    <n v="0.27329999999999999"/>
    <n v="-7.08"/>
    <n v="-101.58"/>
    <n v="0.99950000000000006"/>
    <m/>
    <n v="1"/>
    <n v="1.6999999999999999E-3"/>
    <n v="7.9000000000000008E-3"/>
    <n v="0"/>
    <n v="0"/>
    <n v="7"/>
    <n v="1"/>
    <n v="789501600"/>
    <n v="28.636600000000001"/>
    <n v="121.1704"/>
    <n v="654.48450000000003"/>
  </r>
  <r>
    <x v="18"/>
    <s v="2026-03-08 02:00:00"/>
    <s v="1 hour"/>
    <s v="373"/>
    <s v="RNC_ZTE_Messamendongo(373)"/>
    <s v="373"/>
    <s v="RNC_ZTE_Messamendongo(373)"/>
    <s v="10468"/>
    <x v="0"/>
    <n v="100"/>
    <n v="1"/>
    <n v="2.35"/>
    <n v="1.0989"/>
    <n v="100"/>
    <n v="99.92"/>
    <n v="0.99919999999999998"/>
    <n v="0.99919999999999998"/>
    <n v="0"/>
    <n v="0.01"/>
    <n v="0"/>
    <n v="0"/>
    <n v="0"/>
    <n v="0"/>
    <n v="0.13650000000000001"/>
    <n v="9.2700000000000005E-2"/>
    <n v="-5.55"/>
    <n v="-101.55"/>
    <n v="0.99970000000000003"/>
    <m/>
    <n v="1"/>
    <n v="3.8999999999999998E-3"/>
    <n v="2.92E-2"/>
    <n v="0"/>
    <n v="0"/>
    <n v="17"/>
    <n v="0.99990000000000001"/>
    <n v="789501600"/>
    <n v="14.8734"/>
    <n v="49.5779"/>
    <n v="253.05359999999999"/>
  </r>
  <r>
    <x v="18"/>
    <s v="2026-03-08 02:00:00"/>
    <s v="1 hour"/>
    <s v="373"/>
    <s v="RNC_ZTE_Messamendongo(373)"/>
    <s v="373"/>
    <s v="RNC_ZTE_Messamendongo(373)"/>
    <s v="10599"/>
    <x v="1"/>
    <n v="100"/>
    <n v="1"/>
    <n v="3.02"/>
    <n v="1.6449"/>
    <n v="100"/>
    <n v="99.550000000000011"/>
    <n v="0.99550000000000005"/>
    <n v="0.99550000000000005"/>
    <n v="0"/>
    <n v="0.02"/>
    <n v="0"/>
    <n v="0"/>
    <n v="0"/>
    <n v="0"/>
    <n v="0.13969999999999999"/>
    <n v="6.9599999999999995E-2"/>
    <n v="-5.95"/>
    <n v="-102.78"/>
    <n v="0.99990000000000001"/>
    <m/>
    <n v="1"/>
    <n v="1.6999999999999999E-3"/>
    <n v="1.77E-2"/>
    <n v="0"/>
    <n v="0"/>
    <n v="15"/>
    <n v="0.99990000000000001"/>
    <n v="789501600"/>
    <n v="12.7866"/>
    <n v="61.266199999999998"/>
    <n v="393.20179999999999"/>
  </r>
  <r>
    <x v="18"/>
    <s v="2026-03-08 02:00:00"/>
    <s v="1 hour"/>
    <s v="373"/>
    <s v="RNC_ZTE_Messamendongo(373)"/>
    <s v="373"/>
    <s v="RNC_ZTE_Messamendongo(373)"/>
    <s v="10900"/>
    <x v="2"/>
    <n v="100"/>
    <n v="1"/>
    <n v="1.8"/>
    <n v="2.2761999999999998"/>
    <n v="100"/>
    <n v="99.92"/>
    <n v="0.99919999999999998"/>
    <n v="0.99929999999999997"/>
    <n v="0"/>
    <n v="0.04"/>
    <n v="0"/>
    <n v="0"/>
    <n v="0"/>
    <n v="0"/>
    <n v="0.20100000000000001"/>
    <n v="0.12670000000000001"/>
    <n v="-5.65"/>
    <n v="-100.86"/>
    <n v="0.99960000000000004"/>
    <n v="100"/>
    <n v="0.85709999999999997"/>
    <n v="3.3999999999999998E-3"/>
    <n v="1.7100000000000001E-2"/>
    <n v="0"/>
    <n v="0"/>
    <n v="10"/>
    <n v="1"/>
    <n v="789501600"/>
    <n v="17.6067"/>
    <n v="59.711100000000002"/>
    <n v="568.38549999999998"/>
  </r>
  <r>
    <x v="18"/>
    <s v="2026-03-08 02:00:00"/>
    <s v="1 hour"/>
    <s v="374"/>
    <s v="RNC_ZTE_Mvogada_new(374)"/>
    <s v="374"/>
    <s v="RNC_ZTE_Mvogada_new(374)"/>
    <s v="10269"/>
    <x v="3"/>
    <n v="100"/>
    <n v="1"/>
    <n v="5.07"/>
    <n v="4.0609999999999999"/>
    <n v="99.79"/>
    <n v="99.92"/>
    <n v="0.99919999999999998"/>
    <n v="0.99919999999999998"/>
    <n v="0"/>
    <n v="0.02"/>
    <n v="0"/>
    <n v="0"/>
    <n v="0"/>
    <n v="0"/>
    <n v="0.30819999999999997"/>
    <n v="0.4294"/>
    <n v="-8.58"/>
    <n v="-96.42"/>
    <n v="0.99929999999999997"/>
    <m/>
    <n v="0.75"/>
    <n v="7.4000000000000003E-3"/>
    <n v="5.0999999999999997E-2"/>
    <n v="0"/>
    <n v="0"/>
    <n v="24"/>
    <n v="1"/>
    <n v="789501600"/>
    <n v="36.909999999999997"/>
    <n v="138.95079999999999"/>
    <n v="997.09029999999996"/>
  </r>
  <r>
    <x v="18"/>
    <s v="2026-03-08 02:00:00"/>
    <s v="1 hour"/>
    <s v="374"/>
    <s v="RNC_ZTE_Mvogada_new(374)"/>
    <s v="374"/>
    <s v="RNC_ZTE_Mvogada_new(374)"/>
    <s v="10535"/>
    <x v="4"/>
    <n v="100"/>
    <n v="1"/>
    <n v="2"/>
    <n v="2.8180999999999998"/>
    <n v="100"/>
    <n v="99.94"/>
    <n v="0.99939999999999996"/>
    <n v="0.99929999999999997"/>
    <n v="0"/>
    <n v="0.01"/>
    <n v="0"/>
    <n v="0"/>
    <n v="0"/>
    <n v="0"/>
    <n v="0.30070000000000002"/>
    <n v="0.16839999999999999"/>
    <n v="-8.0399999999999991"/>
    <n v="-101.59"/>
    <n v="0.99960000000000004"/>
    <m/>
    <n v="1"/>
    <n v="4.3E-3"/>
    <n v="2.53E-2"/>
    <n v="0"/>
    <n v="0"/>
    <n v="3"/>
    <n v="1"/>
    <n v="789501600"/>
    <n v="20.581700000000001"/>
    <n v="106.2628"/>
    <n v="680.19269999999995"/>
  </r>
  <r>
    <x v="18"/>
    <s v="2026-03-08 02:00:00"/>
    <s v="1 hour"/>
    <s v="374"/>
    <s v="RNC_ZTE_Mvogada_new(374)"/>
    <s v="374"/>
    <s v="RNC_ZTE_Mvogada_new(374)"/>
    <s v="1057"/>
    <x v="5"/>
    <n v="100"/>
    <n v="1"/>
    <n v="6.34"/>
    <n v="2.0857999999999999"/>
    <n v="100"/>
    <n v="99.51"/>
    <n v="0.99509999999999998"/>
    <n v="0.99509999999999998"/>
    <n v="0"/>
    <n v="0.18"/>
    <n v="0"/>
    <n v="0"/>
    <n v="0"/>
    <n v="0"/>
    <n v="0.253"/>
    <n v="0.16400000000000001"/>
    <n v="-5.92"/>
    <n v="-99.82"/>
    <n v="0.99980000000000002"/>
    <m/>
    <n v="0.8"/>
    <n v="4.1999999999999997E-3"/>
    <n v="3.5400000000000001E-2"/>
    <n v="0"/>
    <n v="0"/>
    <n v="3"/>
    <n v="1"/>
    <n v="789501600"/>
    <n v="15.450100000000001"/>
    <n v="78.323899999999995"/>
    <n v="468.21620000000001"/>
  </r>
  <r>
    <x v="18"/>
    <s v="2026-03-08 02:00:00"/>
    <s v="1 hour"/>
    <s v="374"/>
    <s v="RNC_ZTE_Mvogada_new(374)"/>
    <s v="374"/>
    <s v="RNC_ZTE_Mvogada_new(374)"/>
    <s v="10726"/>
    <x v="6"/>
    <n v="100"/>
    <n v="1"/>
    <n v="2.6"/>
    <n v="2.6991999999999998"/>
    <n v="100"/>
    <n v="99.929999999999993"/>
    <n v="0.99929999999999997"/>
    <n v="0.99919999999999998"/>
    <n v="0"/>
    <n v="0.02"/>
    <n v="0"/>
    <n v="0"/>
    <n v="0"/>
    <n v="0"/>
    <n v="0.191"/>
    <n v="0.2316"/>
    <n v="-5.42"/>
    <n v="-102.13"/>
    <n v="0.99929999999999997"/>
    <m/>
    <n v="1"/>
    <n v="7.1999999999999998E-3"/>
    <n v="4.1799999999999997E-2"/>
    <n v="0"/>
    <n v="0"/>
    <n v="7"/>
    <n v="1"/>
    <n v="789501600"/>
    <n v="19.326699999999999"/>
    <n v="300.97579999999999"/>
    <n v="457.58629999999999"/>
  </r>
  <r>
    <x v="19"/>
    <s v="2026-03-08 03:00:00"/>
    <s v="1 hour"/>
    <s v="373"/>
    <s v="RNC_ZTE_Messamendongo(373)"/>
    <s v="373"/>
    <s v="RNC_ZTE_Messamendongo(373)"/>
    <s v="10468"/>
    <x v="0"/>
    <n v="100"/>
    <n v="1"/>
    <n v="1.8"/>
    <n v="1.0078"/>
    <n v="100"/>
    <n v="99.9"/>
    <n v="0.999"/>
    <n v="0.999"/>
    <n v="0"/>
    <n v="0.01"/>
    <n v="0"/>
    <n v="0"/>
    <n v="0"/>
    <n v="0"/>
    <n v="0.1157"/>
    <n v="9.1800000000000007E-2"/>
    <n v="-4.79"/>
    <n v="-101.86"/>
    <n v="1"/>
    <m/>
    <n v="1"/>
    <n v="3.2000000000000002E-3"/>
    <n v="2.63E-2"/>
    <n v="0"/>
    <n v="0"/>
    <n v="9"/>
    <n v="1"/>
    <n v="789501600"/>
    <n v="14.476699999999999"/>
    <n v="53.7883"/>
    <n v="229.04949999999999"/>
  </r>
  <r>
    <x v="19"/>
    <s v="2026-03-08 03:00:00"/>
    <s v="1 hour"/>
    <s v="373"/>
    <s v="RNC_ZTE_Messamendongo(373)"/>
    <s v="373"/>
    <s v="RNC_ZTE_Messamendongo(373)"/>
    <s v="10599"/>
    <x v="1"/>
    <n v="100"/>
    <n v="1"/>
    <n v="4.2300000000000004"/>
    <n v="0.88439999999999996"/>
    <n v="100"/>
    <n v="99.8"/>
    <n v="0.998"/>
    <n v="0.998"/>
    <n v="0"/>
    <n v="0"/>
    <n v="0"/>
    <n v="0"/>
    <n v="0"/>
    <n v="0"/>
    <n v="0.10929999999999999"/>
    <n v="5.7500000000000002E-2"/>
    <n v="-5.23"/>
    <n v="-103.01"/>
    <n v="1"/>
    <m/>
    <n v="1"/>
    <n v="1.8E-3"/>
    <n v="1.52E-2"/>
    <n v="0"/>
    <n v="0"/>
    <n v="11"/>
    <n v="1"/>
    <n v="789501600"/>
    <n v="10.2784"/>
    <n v="47.582700000000003"/>
    <n v="201.2106"/>
  </r>
  <r>
    <x v="19"/>
    <s v="2026-03-08 03:00:00"/>
    <s v="1 hour"/>
    <s v="373"/>
    <s v="RNC_ZTE_Messamendongo(373)"/>
    <s v="373"/>
    <s v="RNC_ZTE_Messamendongo(373)"/>
    <s v="10900"/>
    <x v="2"/>
    <n v="100"/>
    <n v="1"/>
    <n v="0.33"/>
    <n v="0.90410000000000001"/>
    <n v="100"/>
    <n v="99.95"/>
    <n v="0.99950000000000006"/>
    <n v="0.99950000000000006"/>
    <n v="0"/>
    <n v="0.01"/>
    <n v="0"/>
    <n v="0"/>
    <n v="0"/>
    <n v="0"/>
    <n v="0.13139999999999999"/>
    <n v="0.1191"/>
    <n v="-4.7300000000000004"/>
    <n v="-100.94"/>
    <n v="1"/>
    <m/>
    <n v="1"/>
    <n v="4.0000000000000001E-3"/>
    <n v="2.1600000000000001E-2"/>
    <n v="0"/>
    <n v="0"/>
    <n v="5"/>
    <n v="1"/>
    <n v="789501600"/>
    <n v="15.105"/>
    <n v="79.047799999999995"/>
    <n v="179.49250000000001"/>
  </r>
  <r>
    <x v="19"/>
    <s v="2026-03-08 03:00:00"/>
    <s v="1 hour"/>
    <s v="374"/>
    <s v="RNC_ZTE_Mvogada_new(374)"/>
    <s v="374"/>
    <s v="RNC_ZTE_Mvogada_new(374)"/>
    <s v="10269"/>
    <x v="3"/>
    <n v="100"/>
    <n v="1"/>
    <n v="3.4"/>
    <n v="3.1118999999999999"/>
    <n v="99.37"/>
    <n v="99.850000000000009"/>
    <n v="0.99850000000000005"/>
    <n v="0.99850000000000005"/>
    <n v="0"/>
    <n v="0.04"/>
    <n v="0"/>
    <n v="0"/>
    <n v="0"/>
    <n v="0"/>
    <n v="0.2162"/>
    <n v="0.37959999999999999"/>
    <n v="-7.42"/>
    <n v="-96.35"/>
    <n v="0.99970000000000003"/>
    <m/>
    <n v="1"/>
    <n v="8.8000000000000005E-3"/>
    <n v="2.8000000000000001E-2"/>
    <n v="0"/>
    <n v="0"/>
    <n v="25"/>
    <n v="1"/>
    <n v="789501600"/>
    <n v="31.288399999999999"/>
    <n v="158.90690000000001"/>
    <n v="705.73540000000003"/>
  </r>
  <r>
    <x v="19"/>
    <s v="2026-03-08 03:00:00"/>
    <s v="1 hour"/>
    <s v="374"/>
    <s v="RNC_ZTE_Mvogada_new(374)"/>
    <s v="374"/>
    <s v="RNC_ZTE_Mvogada_new(374)"/>
    <s v="10535"/>
    <x v="4"/>
    <n v="100"/>
    <n v="1"/>
    <n v="2.0299999999999998"/>
    <n v="2.3237999999999999"/>
    <n v="100"/>
    <n v="99.95"/>
    <n v="0.99950000000000006"/>
    <n v="0.99950000000000006"/>
    <n v="0"/>
    <n v="0.02"/>
    <n v="0"/>
    <n v="0"/>
    <n v="0"/>
    <n v="0"/>
    <n v="0.23089999999999999"/>
    <n v="0.13930000000000001"/>
    <n v="-6.99"/>
    <n v="-102.09"/>
    <n v="0.99960000000000004"/>
    <m/>
    <n v="1"/>
    <n v="7.3000000000000001E-3"/>
    <n v="2.87E-2"/>
    <n v="0"/>
    <n v="0"/>
    <n v="10"/>
    <n v="1"/>
    <n v="789501600"/>
    <n v="16.688300000000002"/>
    <n v="66.787499999999994"/>
    <n v="578.49760000000003"/>
  </r>
  <r>
    <x v="19"/>
    <s v="2026-03-08 03:00:00"/>
    <s v="1 hour"/>
    <s v="374"/>
    <s v="RNC_ZTE_Mvogada_new(374)"/>
    <s v="374"/>
    <s v="RNC_ZTE_Mvogada_new(374)"/>
    <s v="1057"/>
    <x v="5"/>
    <n v="100"/>
    <n v="1"/>
    <n v="1.84"/>
    <n v="1.4574"/>
    <n v="100"/>
    <n v="99.11"/>
    <n v="0.99109999999999998"/>
    <n v="0.99109999999999998"/>
    <n v="0"/>
    <n v="0.16"/>
    <n v="0"/>
    <n v="0"/>
    <n v="0"/>
    <n v="0"/>
    <n v="0.18090000000000001"/>
    <n v="0.126"/>
    <n v="-4.92"/>
    <n v="-100.25"/>
    <n v="0.99990000000000001"/>
    <m/>
    <n v="1"/>
    <n v="5.1000000000000004E-3"/>
    <n v="1.9199999999999998E-2"/>
    <n v="0"/>
    <n v="0"/>
    <n v="6"/>
    <n v="1"/>
    <n v="789501600"/>
    <n v="11.6967"/>
    <n v="48.4651"/>
    <n v="356.57909999999998"/>
  </r>
  <r>
    <x v="19"/>
    <s v="2026-03-08 03:00:00"/>
    <s v="1 hour"/>
    <s v="374"/>
    <s v="RNC_ZTE_Mvogada_new(374)"/>
    <s v="374"/>
    <s v="RNC_ZTE_Mvogada_new(374)"/>
    <s v="10726"/>
    <x v="6"/>
    <n v="100"/>
    <n v="1"/>
    <n v="3.04"/>
    <n v="2.0712000000000002"/>
    <n v="100"/>
    <n v="99.94"/>
    <n v="0.99939999999999996"/>
    <n v="0.99939999999999996"/>
    <n v="0"/>
    <n v="0.01"/>
    <n v="0"/>
    <n v="0"/>
    <n v="0"/>
    <n v="0"/>
    <n v="0.17730000000000001"/>
    <n v="0.20280000000000001"/>
    <n v="-5.46"/>
    <n v="-102.44"/>
    <n v="0.99950000000000006"/>
    <m/>
    <n v="1"/>
    <n v="3.3999999999999998E-3"/>
    <n v="3.3599999999999998E-2"/>
    <n v="0"/>
    <n v="0"/>
    <n v="9"/>
    <n v="1"/>
    <n v="789501600"/>
    <n v="18.901700000000002"/>
    <n v="101.9961"/>
    <n v="478.03969999999998"/>
  </r>
  <r>
    <x v="20"/>
    <s v="2026-03-08 04:00:00"/>
    <s v="1 hour"/>
    <s v="373"/>
    <s v="RNC_ZTE_Messamendongo(373)"/>
    <s v="373"/>
    <s v="RNC_ZTE_Messamendongo(373)"/>
    <s v="10468"/>
    <x v="0"/>
    <n v="100"/>
    <n v="1"/>
    <n v="0.95"/>
    <n v="0.48699999999999999"/>
    <n v="100"/>
    <n v="99.74"/>
    <n v="0.99739999999999995"/>
    <n v="0.99739999999999995"/>
    <n v="0"/>
    <n v="0.04"/>
    <n v="0"/>
    <n v="0"/>
    <n v="0"/>
    <n v="0"/>
    <n v="9.0499999999999997E-2"/>
    <n v="8.6400000000000005E-2"/>
    <n v="-4.6399999999999997"/>
    <n v="-101.55"/>
    <n v="0.99960000000000004"/>
    <m/>
    <n v="1"/>
    <n v="1.9E-3"/>
    <n v="1.72E-2"/>
    <n v="0"/>
    <n v="0"/>
    <n v="17"/>
    <n v="1"/>
    <n v="789501600"/>
    <n v="13.091699999999999"/>
    <n v="39.3401"/>
    <n v="96.828699999999998"/>
  </r>
  <r>
    <x v="20"/>
    <s v="2026-03-08 04:00:00"/>
    <s v="1 hour"/>
    <s v="373"/>
    <s v="RNC_ZTE_Messamendongo(373)"/>
    <s v="373"/>
    <s v="RNC_ZTE_Messamendongo(373)"/>
    <s v="10599"/>
    <x v="1"/>
    <n v="100"/>
    <n v="1"/>
    <n v="0.5"/>
    <n v="0.76929999999999998"/>
    <n v="100"/>
    <n v="99.97"/>
    <n v="0.99970000000000003"/>
    <n v="0.99970000000000003"/>
    <n v="0"/>
    <n v="0.01"/>
    <n v="0"/>
    <n v="0"/>
    <n v="0"/>
    <n v="0"/>
    <n v="9.9500000000000005E-2"/>
    <n v="5.2600000000000001E-2"/>
    <n v="-4.99"/>
    <n v="-102.9"/>
    <n v="0.99929999999999997"/>
    <m/>
    <n v="1"/>
    <n v="2.3E-3"/>
    <n v="2.92E-2"/>
    <n v="0"/>
    <n v="0"/>
    <n v="1"/>
    <n v="1"/>
    <n v="789501600"/>
    <n v="9.6199999999999992"/>
    <n v="44.173000000000002"/>
    <n v="177.88650000000001"/>
  </r>
  <r>
    <x v="20"/>
    <s v="2026-03-08 04:00:00"/>
    <s v="1 hour"/>
    <s v="373"/>
    <s v="RNC_ZTE_Messamendongo(373)"/>
    <s v="373"/>
    <s v="RNC_ZTE_Messamendongo(373)"/>
    <s v="10900"/>
    <x v="2"/>
    <n v="100"/>
    <n v="1"/>
    <n v="0.48"/>
    <n v="0.46089999999999998"/>
    <n v="100"/>
    <n v="99.97"/>
    <n v="0.99970000000000003"/>
    <n v="0.99970000000000003"/>
    <n v="0"/>
    <n v="0.01"/>
    <n v="0"/>
    <n v="0"/>
    <n v="0"/>
    <n v="0"/>
    <n v="0.1055"/>
    <n v="9.8000000000000004E-2"/>
    <n v="-4.22"/>
    <n v="-101.09"/>
    <n v="1"/>
    <m/>
    <n v="1"/>
    <n v="3.3999999999999998E-3"/>
    <n v="1.0699999999999999E-2"/>
    <n v="0"/>
    <n v="0"/>
    <n v="4"/>
    <n v="1"/>
    <n v="789501600"/>
    <n v="12.6416"/>
    <n v="32.629899999999999"/>
    <n v="85.643299999999996"/>
  </r>
  <r>
    <x v="20"/>
    <s v="2026-03-08 04:00:00"/>
    <s v="1 hour"/>
    <s v="374"/>
    <s v="RNC_ZTE_Mvogada_new(374)"/>
    <s v="374"/>
    <s v="RNC_ZTE_Mvogada_new(374)"/>
    <s v="10269"/>
    <x v="3"/>
    <n v="100"/>
    <n v="1"/>
    <n v="2.44"/>
    <n v="2.0503999999999998"/>
    <n v="100"/>
    <n v="99.89"/>
    <n v="0.99890000000000001"/>
    <n v="0.99890000000000001"/>
    <n v="0"/>
    <n v="0.02"/>
    <n v="0"/>
    <n v="0"/>
    <n v="0"/>
    <n v="0"/>
    <n v="0.16289999999999999"/>
    <n v="0.373"/>
    <n v="-6.44"/>
    <n v="-96.4"/>
    <n v="0.99939999999999996"/>
    <n v="100"/>
    <n v="1"/>
    <n v="4.1000000000000003E-3"/>
    <n v="2.9499999999999998E-2"/>
    <n v="0"/>
    <n v="0"/>
    <n v="20"/>
    <n v="1"/>
    <n v="789501600"/>
    <n v="26.664999999999999"/>
    <n v="116.63930000000001"/>
    <n v="470.71339999999998"/>
  </r>
  <r>
    <x v="20"/>
    <s v="2026-03-08 04:00:00"/>
    <s v="1 hour"/>
    <s v="374"/>
    <s v="RNC_ZTE_Mvogada_new(374)"/>
    <s v="374"/>
    <s v="RNC_ZTE_Mvogada_new(374)"/>
    <s v="10535"/>
    <x v="4"/>
    <n v="100"/>
    <n v="1"/>
    <n v="0.93"/>
    <n v="1.3794999999999999"/>
    <n v="99.050000000000011"/>
    <n v="99.929999999999993"/>
    <n v="0.99929999999999997"/>
    <n v="0.99929999999999997"/>
    <n v="0"/>
    <n v="6.9999999999999993E-2"/>
    <n v="0"/>
    <n v="0"/>
    <n v="0"/>
    <n v="0"/>
    <n v="0.15390000000000001"/>
    <n v="0.1527"/>
    <n v="-5.9"/>
    <n v="-101.85"/>
    <n v="0.99980000000000002"/>
    <m/>
    <n v="1"/>
    <n v="5.7000000000000002E-3"/>
    <n v="1.8100000000000002E-2"/>
    <n v="0"/>
    <n v="0"/>
    <n v="9"/>
    <n v="1"/>
    <n v="789501600"/>
    <n v="16.3583"/>
    <n v="89.314400000000006"/>
    <n v="292.49299999999999"/>
  </r>
  <r>
    <x v="20"/>
    <s v="2026-03-08 04:00:00"/>
    <s v="1 hour"/>
    <s v="374"/>
    <s v="RNC_ZTE_Mvogada_new(374)"/>
    <s v="374"/>
    <s v="RNC_ZTE_Mvogada_new(374)"/>
    <s v="1057"/>
    <x v="5"/>
    <n v="100"/>
    <n v="1"/>
    <n v="1.87"/>
    <n v="1.2690999999999999"/>
    <n v="100"/>
    <n v="99.21"/>
    <n v="0.99209999999999998"/>
    <n v="0.99209999999999998"/>
    <n v="0"/>
    <n v="0.12"/>
    <n v="0"/>
    <n v="0"/>
    <n v="0"/>
    <n v="0"/>
    <n v="0.14760000000000001"/>
    <n v="0.12330000000000001"/>
    <n v="-4.3899999999999997"/>
    <n v="-100.3"/>
    <n v="0.99970000000000003"/>
    <m/>
    <n v="0.5"/>
    <n v="2.0999999999999999E-3"/>
    <n v="7.3000000000000001E-3"/>
    <n v="0"/>
    <n v="0"/>
    <n v="5"/>
    <n v="1"/>
    <n v="789501600"/>
    <n v="11.9817"/>
    <n v="83.356300000000005"/>
    <n v="266.40969999999999"/>
  </r>
  <r>
    <x v="20"/>
    <s v="2026-03-08 04:00:00"/>
    <s v="1 hour"/>
    <s v="374"/>
    <s v="RNC_ZTE_Mvogada_new(374)"/>
    <s v="374"/>
    <s v="RNC_ZTE_Mvogada_new(374)"/>
    <s v="10726"/>
    <x v="6"/>
    <n v="100"/>
    <n v="1"/>
    <n v="0.65"/>
    <n v="1.488"/>
    <n v="100"/>
    <n v="99.97"/>
    <n v="0.99970000000000003"/>
    <n v="0.99980000000000002"/>
    <n v="0"/>
    <n v="0.03"/>
    <n v="0"/>
    <n v="0"/>
    <n v="0"/>
    <n v="0"/>
    <n v="0.15670000000000001"/>
    <n v="0.21909999999999999"/>
    <n v="-4.5599999999999996"/>
    <n v="-102.44"/>
    <n v="0.99970000000000003"/>
    <m/>
    <n v="1"/>
    <n v="2.5000000000000001E-3"/>
    <n v="7.7999999999999996E-3"/>
    <n v="0"/>
    <n v="0"/>
    <n v="3"/>
    <n v="0.99990000000000001"/>
    <n v="789501600"/>
    <n v="18.0334"/>
    <n v="59.252499999999998"/>
    <n v="358.27820000000003"/>
  </r>
  <r>
    <x v="21"/>
    <s v="2026-03-08 05:00:00"/>
    <s v="1 hour"/>
    <s v="373"/>
    <s v="RNC_ZTE_Messamendongo(373)"/>
    <s v="373"/>
    <s v="RNC_ZTE_Messamendongo(373)"/>
    <s v="10468"/>
    <x v="0"/>
    <n v="100"/>
    <n v="1"/>
    <n v="1.61"/>
    <n v="1.6154999999999999"/>
    <n v="100"/>
    <n v="99.8"/>
    <n v="0.998"/>
    <n v="0.99809999999999999"/>
    <n v="0"/>
    <n v="0.05"/>
    <n v="0"/>
    <n v="0"/>
    <n v="0"/>
    <n v="0"/>
    <n v="0.13370000000000001"/>
    <n v="8.9700000000000002E-2"/>
    <n v="-5.15"/>
    <n v="-101.72"/>
    <n v="0.999"/>
    <m/>
    <n v="1"/>
    <n v="1.6999999999999999E-3"/>
    <n v="1.14E-2"/>
    <n v="0"/>
    <n v="0"/>
    <n v="10"/>
    <n v="1"/>
    <n v="789501600"/>
    <n v="13.4933"/>
    <n v="61.176900000000003"/>
    <n v="370.4117"/>
  </r>
  <r>
    <x v="21"/>
    <s v="2026-03-08 05:00:00"/>
    <s v="1 hour"/>
    <s v="373"/>
    <s v="RNC_ZTE_Messamendongo(373)"/>
    <s v="373"/>
    <s v="RNC_ZTE_Messamendongo(373)"/>
    <s v="10599"/>
    <x v="1"/>
    <n v="100"/>
    <n v="1"/>
    <n v="0.52"/>
    <n v="2.3308"/>
    <n v="100"/>
    <n v="99.9"/>
    <n v="0.999"/>
    <n v="0.999"/>
    <n v="0"/>
    <n v="0.02"/>
    <n v="0"/>
    <n v="0"/>
    <n v="0"/>
    <n v="0"/>
    <n v="0.1484"/>
    <n v="5.3100000000000001E-2"/>
    <n v="-6.23"/>
    <n v="-102.86"/>
    <n v="0.99980000000000002"/>
    <m/>
    <n v="0"/>
    <n v="3.8E-3"/>
    <n v="4.3E-3"/>
    <n v="0"/>
    <n v="0"/>
    <n v="9"/>
    <n v="1"/>
    <n v="789501600"/>
    <n v="10.265000000000001"/>
    <n v="169.4786"/>
    <n v="484.32470000000001"/>
  </r>
  <r>
    <x v="21"/>
    <s v="2026-03-08 05:00:00"/>
    <s v="1 hour"/>
    <s v="373"/>
    <s v="RNC_ZTE_Messamendongo(373)"/>
    <s v="373"/>
    <s v="RNC_ZTE_Messamendongo(373)"/>
    <s v="10900"/>
    <x v="2"/>
    <n v="100"/>
    <n v="1"/>
    <n v="1.1200000000000001"/>
    <n v="0.79900000000000004"/>
    <n v="100"/>
    <n v="99.88"/>
    <n v="0.99880000000000002"/>
    <n v="0.99880000000000002"/>
    <n v="0"/>
    <n v="0.03"/>
    <n v="0"/>
    <n v="0"/>
    <n v="0"/>
    <n v="0"/>
    <n v="0.12659999999999999"/>
    <n v="0.11219999999999999"/>
    <n v="-4.68"/>
    <n v="-101.16"/>
    <n v="0.99950000000000006"/>
    <m/>
    <n v="1"/>
    <n v="8.9999999999999998E-4"/>
    <n v="7.7000000000000002E-3"/>
    <n v="0"/>
    <n v="0"/>
    <n v="11"/>
    <n v="1"/>
    <n v="789501600"/>
    <n v="14.0817"/>
    <n v="36.754899999999999"/>
    <n v="163.7321"/>
  </r>
  <r>
    <x v="21"/>
    <s v="2026-03-08 05:00:00"/>
    <s v="1 hour"/>
    <s v="374"/>
    <s v="RNC_ZTE_Mvogada_new(374)"/>
    <s v="374"/>
    <s v="RNC_ZTE_Mvogada_new(374)"/>
    <s v="10269"/>
    <x v="3"/>
    <n v="100"/>
    <n v="1"/>
    <n v="1.96"/>
    <n v="1.7001999999999999"/>
    <n v="99.570000000000007"/>
    <n v="99.94"/>
    <n v="0.99939999999999996"/>
    <n v="0.99939999999999996"/>
    <n v="0"/>
    <n v="0.03"/>
    <n v="0"/>
    <n v="0"/>
    <n v="0"/>
    <n v="0"/>
    <n v="0.15890000000000001"/>
    <n v="0.37280000000000002"/>
    <n v="-6.25"/>
    <n v="-96.46"/>
    <n v="0.99960000000000004"/>
    <m/>
    <n v="1"/>
    <n v="6.7999999999999996E-3"/>
    <n v="1.77E-2"/>
    <n v="0"/>
    <n v="0"/>
    <n v="6"/>
    <n v="1"/>
    <n v="789501600"/>
    <n v="26.996700000000001"/>
    <n v="97.006100000000004"/>
    <n v="385.27539999999999"/>
  </r>
  <r>
    <x v="21"/>
    <s v="2026-03-08 05:00:00"/>
    <s v="1 hour"/>
    <s v="374"/>
    <s v="RNC_ZTE_Mvogada_new(374)"/>
    <s v="374"/>
    <s v="RNC_ZTE_Mvogada_new(374)"/>
    <s v="10535"/>
    <x v="4"/>
    <n v="100"/>
    <n v="1"/>
    <n v="1.18"/>
    <n v="1.9871000000000001"/>
    <n v="100"/>
    <n v="99.95"/>
    <n v="0.99950000000000006"/>
    <n v="0.99950000000000006"/>
    <n v="0"/>
    <n v="0.04"/>
    <n v="0"/>
    <n v="0"/>
    <n v="0"/>
    <n v="0"/>
    <n v="0.19420000000000001"/>
    <n v="0.1744"/>
    <n v="-6.31"/>
    <n v="-101.64"/>
    <n v="0.99990000000000001"/>
    <m/>
    <n v="1"/>
    <n v="3.3E-3"/>
    <n v="7.1000000000000004E-3"/>
    <n v="0"/>
    <n v="0"/>
    <n v="7"/>
    <n v="1"/>
    <n v="789501600"/>
    <n v="19.781600000000001"/>
    <n v="163.9401"/>
    <n v="395.57499999999999"/>
  </r>
  <r>
    <x v="21"/>
    <s v="2026-03-08 05:00:00"/>
    <s v="1 hour"/>
    <s v="374"/>
    <s v="RNC_ZTE_Mvogada_new(374)"/>
    <s v="374"/>
    <s v="RNC_ZTE_Mvogada_new(374)"/>
    <s v="1057"/>
    <x v="5"/>
    <n v="100"/>
    <n v="1"/>
    <n v="3.94"/>
    <n v="0.89559999999999995"/>
    <n v="100"/>
    <n v="99.009999999999991"/>
    <n v="0.99"/>
    <n v="0.99"/>
    <n v="0"/>
    <n v="0.13999999999999999"/>
    <n v="0"/>
    <n v="0"/>
    <n v="0"/>
    <n v="0"/>
    <n v="0.1226"/>
    <n v="0.1356"/>
    <n v="-4.01"/>
    <n v="-100.38"/>
    <n v="0.99990000000000001"/>
    <m/>
    <n v="1"/>
    <n v="1.8E-3"/>
    <n v="1.18E-2"/>
    <n v="0"/>
    <n v="0"/>
    <n v="2"/>
    <n v="1"/>
    <n v="789501600"/>
    <n v="10.9566"/>
    <n v="44.843699999999998"/>
    <n v="208.62389999999999"/>
  </r>
  <r>
    <x v="21"/>
    <s v="2026-03-08 05:00:00"/>
    <s v="1 hour"/>
    <s v="374"/>
    <s v="RNC_ZTE_Mvogada_new(374)"/>
    <s v="374"/>
    <s v="RNC_ZTE_Mvogada_new(374)"/>
    <s v="10726"/>
    <x v="6"/>
    <n v="100"/>
    <n v="1"/>
    <n v="0.95"/>
    <n v="0.88890000000000002"/>
    <n v="100"/>
    <n v="99.97"/>
    <n v="0.99970000000000003"/>
    <n v="0.99970000000000003"/>
    <n v="0"/>
    <n v="0"/>
    <n v="0"/>
    <n v="0"/>
    <n v="0"/>
    <n v="0"/>
    <n v="0.1095"/>
    <n v="0.2109"/>
    <n v="-3.91"/>
    <n v="-102.67"/>
    <n v="0.99939999999999996"/>
    <m/>
    <n v="1"/>
    <n v="4.4999999999999997E-3"/>
    <n v="0.04"/>
    <n v="0"/>
    <n v="0"/>
    <n v="0"/>
    <n v="1"/>
    <n v="789501600"/>
    <n v="15.53"/>
    <n v="42.325400000000002"/>
    <n v="208.48699999999999"/>
  </r>
  <r>
    <x v="22"/>
    <s v="2026-03-08 06:00:00"/>
    <s v="1 hour"/>
    <s v="373"/>
    <s v="RNC_ZTE_Messamendongo(373)"/>
    <s v="373"/>
    <s v="RNC_ZTE_Messamendongo(373)"/>
    <s v="10468"/>
    <x v="0"/>
    <n v="100"/>
    <n v="1"/>
    <n v="2.12"/>
    <n v="2.1383999999999999"/>
    <n v="99.5"/>
    <n v="99.94"/>
    <n v="0.99939999999999996"/>
    <n v="0.99939999999999996"/>
    <n v="0"/>
    <n v="0.03"/>
    <n v="0"/>
    <n v="0"/>
    <n v="0"/>
    <n v="0"/>
    <n v="0.2046"/>
    <n v="0.1263"/>
    <n v="-6.59"/>
    <n v="-101.69"/>
    <n v="0.99980000000000002"/>
    <m/>
    <n v="1"/>
    <n v="3.5000000000000001E-3"/>
    <n v="2.6800000000000001E-2"/>
    <n v="0"/>
    <n v="0"/>
    <n v="7"/>
    <n v="1"/>
    <n v="789501600"/>
    <n v="19.675000000000001"/>
    <n v="74.611599999999996"/>
    <n v="506.3064"/>
  </r>
  <r>
    <x v="22"/>
    <s v="2026-03-08 06:00:00"/>
    <s v="1 hour"/>
    <s v="373"/>
    <s v="RNC_ZTE_Messamendongo(373)"/>
    <s v="373"/>
    <s v="RNC_ZTE_Messamendongo(373)"/>
    <s v="10599"/>
    <x v="1"/>
    <n v="100"/>
    <n v="1"/>
    <n v="1.0900000000000001"/>
    <n v="0.93840000000000001"/>
    <n v="100"/>
    <n v="99.47"/>
    <n v="0.99470000000000003"/>
    <n v="0.995"/>
    <n v="0"/>
    <n v="6.9999999999999993E-2"/>
    <n v="0"/>
    <n v="0"/>
    <n v="0"/>
    <n v="0"/>
    <n v="0.1258"/>
    <n v="6.0999999999999999E-2"/>
    <n v="-6.23"/>
    <n v="-103.31"/>
    <n v="0.99980000000000002"/>
    <m/>
    <n v="1"/>
    <n v="2.5000000000000001E-3"/>
    <n v="3.4200000000000001E-2"/>
    <n v="0"/>
    <n v="0"/>
    <n v="30"/>
    <n v="1"/>
    <n v="789501600"/>
    <n v="11.1416"/>
    <n v="41.717599999999997"/>
    <n v="217.25479999999999"/>
  </r>
  <r>
    <x v="22"/>
    <s v="2026-03-08 06:00:00"/>
    <s v="1 hour"/>
    <s v="373"/>
    <s v="RNC_ZTE_Messamendongo(373)"/>
    <s v="373"/>
    <s v="RNC_ZTE_Messamendongo(373)"/>
    <s v="10900"/>
    <x v="2"/>
    <n v="100"/>
    <n v="1"/>
    <n v="3.18"/>
    <n v="2.3176999999999999"/>
    <n v="99.56"/>
    <n v="99.89"/>
    <n v="0.99890000000000001"/>
    <n v="0.99890000000000001"/>
    <n v="0"/>
    <n v="0.04"/>
    <n v="0"/>
    <n v="0"/>
    <n v="0"/>
    <n v="0"/>
    <n v="0.26040000000000002"/>
    <n v="0.17430000000000001"/>
    <n v="-6.9"/>
    <n v="-100.79"/>
    <n v="0.99970000000000003"/>
    <n v="100"/>
    <n v="1"/>
    <n v="4.5999999999999999E-3"/>
    <n v="2.6700000000000002E-2"/>
    <n v="0"/>
    <n v="0"/>
    <n v="20"/>
    <n v="1"/>
    <n v="789501600"/>
    <n v="23.184999999999999"/>
    <n v="85.358400000000003"/>
    <n v="545.95550000000003"/>
  </r>
  <r>
    <x v="22"/>
    <s v="2026-03-08 06:00:00"/>
    <s v="1 hour"/>
    <s v="374"/>
    <s v="RNC_ZTE_Mvogada_new(374)"/>
    <s v="374"/>
    <s v="RNC_ZTE_Mvogada_new(374)"/>
    <s v="10269"/>
    <x v="3"/>
    <n v="100"/>
    <n v="1"/>
    <n v="5.27"/>
    <n v="2.8330000000000002"/>
    <n v="99.61"/>
    <n v="99.88"/>
    <n v="0.99880000000000002"/>
    <n v="0.99880000000000002"/>
    <n v="0"/>
    <n v="0.05"/>
    <n v="0"/>
    <n v="0"/>
    <n v="0"/>
    <n v="0"/>
    <n v="0.2319"/>
    <n v="0.36220000000000002"/>
    <n v="-7.98"/>
    <n v="-96.11"/>
    <n v="0.99919999999999998"/>
    <m/>
    <n v="1"/>
    <n v="6.7999999999999996E-3"/>
    <n v="3.1199999999999999E-2"/>
    <n v="0"/>
    <n v="0"/>
    <n v="35"/>
    <n v="1"/>
    <n v="789501600"/>
    <n v="32.81"/>
    <n v="145.41390000000001"/>
    <n v="651.44799999999998"/>
  </r>
  <r>
    <x v="22"/>
    <s v="2026-03-08 06:00:00"/>
    <s v="1 hour"/>
    <s v="374"/>
    <s v="RNC_ZTE_Mvogada_new(374)"/>
    <s v="374"/>
    <s v="RNC_ZTE_Mvogada_new(374)"/>
    <s v="10535"/>
    <x v="4"/>
    <n v="100"/>
    <n v="1"/>
    <n v="2.87"/>
    <n v="2.1857000000000002"/>
    <n v="100"/>
    <n v="99.97"/>
    <n v="0.99970000000000003"/>
    <n v="0.99970000000000003"/>
    <n v="0"/>
    <n v="0.02"/>
    <n v="0"/>
    <n v="0"/>
    <n v="0"/>
    <n v="0"/>
    <n v="0.27079999999999999"/>
    <n v="0.20810000000000001"/>
    <n v="-7.33"/>
    <n v="-101.69"/>
    <n v="0.99950000000000006"/>
    <m/>
    <n v="1"/>
    <n v="4.4000000000000003E-3"/>
    <n v="1.8200000000000001E-2"/>
    <n v="0"/>
    <n v="0"/>
    <n v="6"/>
    <n v="1"/>
    <n v="789501600"/>
    <n v="22.8383"/>
    <n v="115.3728"/>
    <n v="498.66149999999999"/>
  </r>
  <r>
    <x v="22"/>
    <s v="2026-03-08 06:00:00"/>
    <s v="1 hour"/>
    <s v="374"/>
    <s v="RNC_ZTE_Mvogada_new(374)"/>
    <s v="374"/>
    <s v="RNC_ZTE_Mvogada_new(374)"/>
    <s v="1057"/>
    <x v="5"/>
    <n v="100"/>
    <n v="1"/>
    <n v="3.79"/>
    <n v="1.5256000000000001"/>
    <n v="99.68"/>
    <n v="98.9"/>
    <n v="0.98899999999999999"/>
    <n v="0.98899999999999999"/>
    <n v="0"/>
    <n v="0.13999999999999999"/>
    <n v="0"/>
    <n v="0"/>
    <n v="0"/>
    <n v="0"/>
    <n v="0.18049999999999999"/>
    <n v="0.16789999999999999"/>
    <n v="-5.01"/>
    <n v="-99.97"/>
    <n v="0.99960000000000004"/>
    <m/>
    <n v="1"/>
    <n v="3.3E-3"/>
    <n v="3.2800000000000003E-2"/>
    <n v="0"/>
    <n v="0"/>
    <n v="12"/>
    <n v="1"/>
    <n v="789501600"/>
    <n v="15.8634"/>
    <n v="77.328000000000003"/>
    <n v="336.52730000000003"/>
  </r>
  <r>
    <x v="22"/>
    <s v="2026-03-08 06:00:00"/>
    <s v="1 hour"/>
    <s v="374"/>
    <s v="RNC_ZTE_Mvogada_new(374)"/>
    <s v="374"/>
    <s v="RNC_ZTE_Mvogada_new(374)"/>
    <s v="10726"/>
    <x v="6"/>
    <n v="79.02"/>
    <n v="0.79020000000000001"/>
    <n v="1.72"/>
    <n v="0.75270000000000004"/>
    <n v="100"/>
    <n v="99.960000000000008"/>
    <n v="0.99960000000000004"/>
    <n v="0.99960000000000004"/>
    <n v="0"/>
    <n v="0.05"/>
    <n v="0"/>
    <n v="0"/>
    <n v="0"/>
    <n v="0"/>
    <n v="0.1444"/>
    <n v="0.2072"/>
    <n v="-4.83"/>
    <n v="-102.67"/>
    <n v="0.99990000000000001"/>
    <m/>
    <n v="1"/>
    <n v="2.5000000000000001E-3"/>
    <n v="2.0199999999999999E-2"/>
    <n v="0"/>
    <n v="0"/>
    <n v="7"/>
    <n v="1"/>
    <n v="789506132"/>
    <n v="14.0783"/>
    <n v="46.145800000000001"/>
    <n v="163.3553"/>
  </r>
  <r>
    <x v="23"/>
    <s v="2026-03-08 07:00:00"/>
    <s v="1 hour"/>
    <s v="373"/>
    <s v="RNC_ZTE_Messamendongo(373)"/>
    <s v="373"/>
    <s v="RNC_ZTE_Messamendongo(373)"/>
    <s v="10468"/>
    <x v="0"/>
    <n v="100"/>
    <n v="1"/>
    <n v="10.33"/>
    <n v="2.3283999999999998"/>
    <n v="99.72999999999999"/>
    <n v="99.87"/>
    <n v="0.99870000000000003"/>
    <n v="0.99880000000000002"/>
    <n v="0"/>
    <n v="0.05"/>
    <n v="0"/>
    <n v="0"/>
    <n v="0"/>
    <n v="0"/>
    <n v="0.2787"/>
    <n v="0.15140000000000001"/>
    <n v="-8.49"/>
    <n v="-100.27"/>
    <n v="0.99970000000000003"/>
    <m/>
    <n v="1"/>
    <n v="5.4000000000000003E-3"/>
    <n v="5.0099999999999999E-2"/>
    <n v="0"/>
    <n v="0"/>
    <n v="23"/>
    <n v="0.99980000000000002"/>
    <n v="789501600"/>
    <n v="27.583300000000001"/>
    <n v="121.72199999999999"/>
    <n v="523.90170000000001"/>
  </r>
  <r>
    <x v="23"/>
    <s v="2026-03-08 07:00:00"/>
    <s v="1 hour"/>
    <s v="373"/>
    <s v="RNC_ZTE_Messamendongo(373)"/>
    <s v="373"/>
    <s v="RNC_ZTE_Messamendongo(373)"/>
    <s v="10599"/>
    <x v="1"/>
    <n v="100"/>
    <n v="1"/>
    <n v="8.61"/>
    <n v="1.4220999999999999"/>
    <n v="99.83"/>
    <n v="99.7"/>
    <n v="0.997"/>
    <n v="0.997"/>
    <n v="0"/>
    <n v="0.09"/>
    <n v="0"/>
    <n v="0"/>
    <n v="0"/>
    <n v="0"/>
    <n v="0.2039"/>
    <n v="7.6700000000000004E-2"/>
    <n v="-7.61"/>
    <n v="-101.35"/>
    <n v="0.99950000000000006"/>
    <m/>
    <n v="1"/>
    <n v="3.8E-3"/>
    <n v="5.5300000000000002E-2"/>
    <n v="0"/>
    <n v="0"/>
    <n v="18"/>
    <n v="0.99990000000000001"/>
    <n v="789501600"/>
    <n v="16.171700000000001"/>
    <n v="79.683400000000006"/>
    <n v="317.78460000000001"/>
  </r>
  <r>
    <x v="23"/>
    <s v="2026-03-08 07:00:00"/>
    <s v="1 hour"/>
    <s v="373"/>
    <s v="RNC_ZTE_Messamendongo(373)"/>
    <s v="373"/>
    <s v="RNC_ZTE_Messamendongo(373)"/>
    <s v="10900"/>
    <x v="2"/>
    <n v="100"/>
    <n v="1"/>
    <n v="12.9"/>
    <n v="3.5091000000000001"/>
    <n v="99.67"/>
    <n v="99.89"/>
    <n v="0.99880000000000002"/>
    <n v="0.99890000000000001"/>
    <n v="0.12"/>
    <n v="0.06"/>
    <n v="0"/>
    <n v="0"/>
    <n v="0"/>
    <n v="0"/>
    <n v="0.40510000000000002"/>
    <n v="0.21"/>
    <n v="-8.7100000000000009"/>
    <n v="-99.88"/>
    <n v="0.99980000000000002"/>
    <n v="100"/>
    <n v="0.94120000000000004"/>
    <n v="4.1999999999999997E-3"/>
    <n v="3.5999999999999997E-2"/>
    <n v="0"/>
    <n v="0"/>
    <n v="27"/>
    <n v="1"/>
    <n v="789501600"/>
    <n v="32.278300000000002"/>
    <n v="136.54079999999999"/>
    <n v="832.3"/>
  </r>
  <r>
    <x v="23"/>
    <s v="2026-03-08 07:00:00"/>
    <s v="1 hour"/>
    <s v="374"/>
    <s v="RNC_ZTE_Mvogada_new(374)"/>
    <s v="374"/>
    <s v="RNC_ZTE_Mvogada_new(374)"/>
    <s v="10269"/>
    <x v="3"/>
    <n v="100"/>
    <n v="1"/>
    <n v="24.9"/>
    <n v="3.7018"/>
    <n v="99.74"/>
    <n v="99.87"/>
    <n v="0.99870000000000003"/>
    <n v="0.99870000000000003"/>
    <n v="0"/>
    <n v="0.05"/>
    <n v="0"/>
    <n v="0"/>
    <n v="0"/>
    <n v="0"/>
    <n v="0.39979999999999999"/>
    <n v="0.36230000000000001"/>
    <n v="-9.9499999999999993"/>
    <n v="-95"/>
    <n v="0.99960000000000004"/>
    <n v="80"/>
    <n v="0.83330000000000004"/>
    <n v="5.1999999999999998E-3"/>
    <n v="5.3400000000000003E-2"/>
    <n v="0"/>
    <n v="0"/>
    <n v="33"/>
    <n v="1"/>
    <n v="789501600"/>
    <n v="39.601700000000001"/>
    <n v="205.42670000000001"/>
    <n v="814.47249999999997"/>
  </r>
  <r>
    <x v="23"/>
    <s v="2026-03-08 07:00:00"/>
    <s v="1 hour"/>
    <s v="374"/>
    <s v="RNC_ZTE_Mvogada_new(374)"/>
    <s v="374"/>
    <s v="RNC_ZTE_Mvogada_new(374)"/>
    <s v="10535"/>
    <x v="4"/>
    <n v="100"/>
    <n v="1"/>
    <n v="12.41"/>
    <n v="3.0047999999999999"/>
    <n v="99.81"/>
    <n v="99.929999999999993"/>
    <n v="0.99929999999999997"/>
    <n v="0.99939999999999996"/>
    <n v="0.12"/>
    <n v="0.03"/>
    <n v="0"/>
    <n v="0"/>
    <n v="0"/>
    <n v="0"/>
    <n v="0.39639999999999997"/>
    <n v="0.23369999999999999"/>
    <n v="-9.07"/>
    <n v="-99.75"/>
    <n v="0.99970000000000003"/>
    <m/>
    <n v="1"/>
    <n v="5.7000000000000002E-3"/>
    <n v="4.3400000000000001E-2"/>
    <n v="0"/>
    <n v="0"/>
    <n v="16"/>
    <n v="1"/>
    <n v="789501600"/>
    <n v="30.493400000000001"/>
    <n v="181.90010000000001"/>
    <n v="645.9212"/>
  </r>
  <r>
    <x v="23"/>
    <s v="2026-03-08 07:00:00"/>
    <s v="1 hour"/>
    <s v="374"/>
    <s v="RNC_ZTE_Mvogada_new(374)"/>
    <s v="374"/>
    <s v="RNC_ZTE_Mvogada_new(374)"/>
    <s v="1057"/>
    <x v="5"/>
    <n v="100"/>
    <n v="1"/>
    <n v="15.99"/>
    <n v="1.9511000000000001"/>
    <n v="99.850000000000009"/>
    <n v="99.17"/>
    <n v="0.99170000000000003"/>
    <n v="0.99170000000000003"/>
    <n v="0.08"/>
    <n v="0.11"/>
    <n v="0"/>
    <n v="0"/>
    <n v="0"/>
    <n v="0"/>
    <n v="0.312"/>
    <n v="0.19639999999999999"/>
    <n v="-7.38"/>
    <n v="-98.52"/>
    <n v="0.99980000000000002"/>
    <m/>
    <n v="0.90910000000000002"/>
    <n v="3.8999999999999998E-3"/>
    <n v="4.4699999999999997E-2"/>
    <n v="0"/>
    <n v="0"/>
    <n v="8"/>
    <n v="1"/>
    <n v="789501600"/>
    <n v="20.8917"/>
    <n v="110.489"/>
    <n v="404.50069999999999"/>
  </r>
  <r>
    <x v="23"/>
    <s v="2026-03-08 07:00:00"/>
    <s v="1 hour"/>
    <s v="374"/>
    <s v="RNC_ZTE_Mvogada_new(374)"/>
    <s v="374"/>
    <s v="RNC_ZTE_Mvogada_new(374)"/>
    <s v="10726"/>
    <x v="6"/>
    <n v="100"/>
    <n v="1"/>
    <n v="12.72"/>
    <n v="2.7498"/>
    <n v="99.79"/>
    <n v="99.82"/>
    <n v="0.99819999999999998"/>
    <n v="0.99839999999999995"/>
    <n v="0"/>
    <n v="0.05"/>
    <n v="0"/>
    <n v="0"/>
    <n v="0"/>
    <n v="0"/>
    <n v="0.31619999999999998"/>
    <n v="0.19850000000000001"/>
    <n v="-7.65"/>
    <n v="-101.76"/>
    <n v="0.99929999999999997"/>
    <m/>
    <n v="0.88890000000000002"/>
    <n v="4.7999999999999996E-3"/>
    <n v="5.3600000000000002E-2"/>
    <n v="0"/>
    <n v="0"/>
    <n v="25"/>
    <n v="1"/>
    <n v="789501600"/>
    <n v="21.603300000000001"/>
    <n v="137.63460000000001"/>
    <n v="615.61149999999998"/>
  </r>
  <r>
    <x v="24"/>
    <s v="2026-03-08 08:00:00"/>
    <s v="1 hour"/>
    <s v="373"/>
    <s v="RNC_ZTE_Messamendongo(373)"/>
    <s v="373"/>
    <s v="RNC_ZTE_Messamendongo(373)"/>
    <s v="10468"/>
    <x v="0"/>
    <n v="100"/>
    <n v="1"/>
    <n v="26.53"/>
    <n v="3.0958999999999999"/>
    <n v="99.76"/>
    <n v="99.9"/>
    <n v="0.999"/>
    <n v="0.99909999999999999"/>
    <n v="0"/>
    <n v="0.04"/>
    <n v="0"/>
    <n v="0"/>
    <n v="0"/>
    <n v="0"/>
    <n v="0.40339999999999998"/>
    <n v="0.15890000000000001"/>
    <n v="-9.84"/>
    <n v="-99.15"/>
    <n v="0.99980000000000002"/>
    <n v="100"/>
    <n v="1"/>
    <n v="4.4000000000000003E-3"/>
    <n v="7.1800000000000003E-2"/>
    <n v="0"/>
    <n v="0"/>
    <n v="39"/>
    <n v="0.99980000000000002"/>
    <n v="789501600"/>
    <n v="30.081700000000001"/>
    <n v="165.1789"/>
    <n v="666.54729999999995"/>
  </r>
  <r>
    <x v="24"/>
    <s v="2026-03-08 08:00:00"/>
    <s v="1 hour"/>
    <s v="373"/>
    <s v="RNC_ZTE_Messamendongo(373)"/>
    <s v="373"/>
    <s v="RNC_ZTE_Messamendongo(373)"/>
    <s v="10599"/>
    <x v="1"/>
    <n v="100"/>
    <n v="1"/>
    <n v="19.41"/>
    <n v="2.6091000000000002"/>
    <n v="99.67"/>
    <n v="99.65"/>
    <n v="0.99650000000000005"/>
    <n v="0.99650000000000005"/>
    <n v="0"/>
    <n v="0.13"/>
    <n v="0"/>
    <n v="0"/>
    <n v="0"/>
    <n v="0"/>
    <n v="0.28339999999999999"/>
    <n v="9.2100000000000001E-2"/>
    <n v="-8.84"/>
    <n v="-99.94"/>
    <n v="0.99970000000000003"/>
    <n v="100"/>
    <n v="1"/>
    <n v="6.1000000000000004E-3"/>
    <n v="5.7599999999999998E-2"/>
    <n v="0"/>
    <n v="0"/>
    <n v="56"/>
    <n v="0.99990000000000001"/>
    <n v="789501600"/>
    <n v="21.775099999999998"/>
    <n v="136.19999999999999"/>
    <n v="576.74400000000003"/>
  </r>
  <r>
    <x v="24"/>
    <s v="2026-03-08 08:00:00"/>
    <s v="1 hour"/>
    <s v="373"/>
    <s v="RNC_ZTE_Messamendongo(373)"/>
    <s v="373"/>
    <s v="RNC_ZTE_Messamendongo(373)"/>
    <s v="10900"/>
    <x v="2"/>
    <n v="100"/>
    <n v="1"/>
    <n v="26.96"/>
    <n v="3.4624000000000001"/>
    <n v="99.75"/>
    <n v="99.8"/>
    <n v="0.998"/>
    <n v="0.99829999999999997"/>
    <n v="0.13999999999999999"/>
    <n v="0.04"/>
    <n v="0"/>
    <n v="0"/>
    <n v="0"/>
    <n v="0"/>
    <n v="0.48670000000000002"/>
    <n v="0.2157"/>
    <n v="-9.57"/>
    <n v="-98.99"/>
    <n v="0.99970000000000003"/>
    <n v="77.78"/>
    <n v="0.96430000000000005"/>
    <n v="5.7999999999999996E-3"/>
    <n v="5.8400000000000001E-2"/>
    <n v="0"/>
    <n v="0"/>
    <n v="26"/>
    <n v="1"/>
    <n v="789501600"/>
    <n v="35.048400000000001"/>
    <n v="146.99780000000001"/>
    <n v="811.75570000000005"/>
  </r>
  <r>
    <x v="24"/>
    <s v="2026-03-08 08:00:00"/>
    <s v="1 hour"/>
    <s v="374"/>
    <s v="RNC_ZTE_Mvogada_new(374)"/>
    <s v="374"/>
    <s v="RNC_ZTE_Mvogada_new(374)"/>
    <s v="10269"/>
    <x v="3"/>
    <n v="100"/>
    <n v="1"/>
    <n v="61.84"/>
    <n v="3.4992000000000001"/>
    <n v="99.62"/>
    <n v="99.78"/>
    <n v="0.99780000000000002"/>
    <n v="0.99790000000000001"/>
    <n v="0.18"/>
    <n v="0.1"/>
    <n v="0"/>
    <n v="0"/>
    <n v="0"/>
    <n v="0"/>
    <n v="0.5323"/>
    <n v="0.40100000000000002"/>
    <n v="-11.29"/>
    <n v="-94.4"/>
    <n v="0.99950000000000006"/>
    <n v="75"/>
    <n v="1"/>
    <n v="6.4000000000000003E-3"/>
    <n v="7.4200000000000002E-2"/>
    <n v="0"/>
    <n v="0"/>
    <n v="108"/>
    <n v="0.99990000000000001"/>
    <n v="789501600"/>
    <n v="49.796700000000001"/>
    <n v="244.40700000000001"/>
    <n v="707.32500000000005"/>
  </r>
  <r>
    <x v="24"/>
    <s v="2026-03-08 08:00:00"/>
    <s v="1 hour"/>
    <s v="374"/>
    <s v="RNC_ZTE_Mvogada_new(374)"/>
    <s v="374"/>
    <s v="RNC_ZTE_Mvogada_new(374)"/>
    <s v="10535"/>
    <x v="4"/>
    <n v="100"/>
    <n v="1"/>
    <n v="33.54"/>
    <n v="3.5436999999999999"/>
    <n v="99.62"/>
    <n v="99.929999999999993"/>
    <n v="0.99929999999999997"/>
    <n v="0.99929999999999997"/>
    <n v="0.11"/>
    <n v="0.03"/>
    <n v="0"/>
    <n v="0"/>
    <n v="0"/>
    <n v="0"/>
    <n v="0.55030000000000001"/>
    <n v="0.27650000000000002"/>
    <n v="-10.55"/>
    <n v="-98.05"/>
    <n v="0.99960000000000004"/>
    <n v="100"/>
    <n v="1"/>
    <n v="5.3E-3"/>
    <n v="5.1400000000000001E-2"/>
    <n v="0"/>
    <n v="0"/>
    <n v="35"/>
    <n v="1"/>
    <n v="789501600"/>
    <n v="34.506700000000002"/>
    <n v="190.58240000000001"/>
    <n v="793.54660000000001"/>
  </r>
  <r>
    <x v="24"/>
    <s v="2026-03-08 08:00:00"/>
    <s v="1 hour"/>
    <s v="374"/>
    <s v="RNC_ZTE_Mvogada_new(374)"/>
    <s v="374"/>
    <s v="RNC_ZTE_Mvogada_new(374)"/>
    <s v="1057"/>
    <x v="5"/>
    <n v="100"/>
    <n v="1"/>
    <n v="39.97"/>
    <n v="3.0015999999999998"/>
    <n v="99.75"/>
    <n v="99.7"/>
    <n v="0.997"/>
    <n v="0.99709999999999999"/>
    <n v="0.04"/>
    <n v="0.12"/>
    <n v="0"/>
    <n v="0"/>
    <n v="0"/>
    <n v="0"/>
    <n v="0.49859999999999999"/>
    <n v="0.27710000000000001"/>
    <n v="-9.49"/>
    <n v="-96.55"/>
    <n v="0.99980000000000002"/>
    <m/>
    <n v="0.76919999999999999"/>
    <n v="4.7000000000000002E-3"/>
    <n v="5.04E-2"/>
    <n v="0"/>
    <n v="0"/>
    <n v="19"/>
    <n v="1"/>
    <n v="789501600"/>
    <n v="29.306699999999999"/>
    <n v="157.43369999999999"/>
    <n v="658.22799999999995"/>
  </r>
  <r>
    <x v="24"/>
    <s v="2026-03-08 08:00:00"/>
    <s v="1 hour"/>
    <s v="374"/>
    <s v="RNC_ZTE_Mvogada_new(374)"/>
    <s v="374"/>
    <s v="RNC_ZTE_Mvogada_new(374)"/>
    <s v="10726"/>
    <x v="6"/>
    <n v="92.94"/>
    <n v="0.9294"/>
    <n v="26.27"/>
    <n v="4.0400999999999998"/>
    <n v="99.77000000000001"/>
    <n v="99.91"/>
    <n v="0.99909999999999999"/>
    <n v="0.99909999999999999"/>
    <n v="0"/>
    <n v="0.04"/>
    <n v="1"/>
    <n v="0"/>
    <n v="0"/>
    <n v="0"/>
    <n v="0.49399999999999999"/>
    <n v="0.2848"/>
    <n v="-9.74"/>
    <n v="-100.06"/>
    <n v="0.99980000000000002"/>
    <m/>
    <n v="0.75"/>
    <n v="5.7999999999999996E-3"/>
    <n v="6.1100000000000002E-2"/>
    <n v="0"/>
    <n v="0"/>
    <n v="28"/>
    <n v="1"/>
    <n v="789503124"/>
    <n v="32.526800000000001"/>
    <n v="163.7653"/>
    <n v="953.63710000000003"/>
  </r>
  <r>
    <x v="25"/>
    <s v="2026-03-08 09:00:00"/>
    <s v="1 hour"/>
    <s v="373"/>
    <s v="RNC_ZTE_Messamendongo(373)"/>
    <s v="373"/>
    <s v="RNC_ZTE_Messamendongo(373)"/>
    <s v="10468"/>
    <x v="0"/>
    <n v="100"/>
    <n v="1"/>
    <n v="31.7"/>
    <n v="2.9020000000000001"/>
    <n v="99.67"/>
    <n v="99.839999999999989"/>
    <n v="0.99839999999999995"/>
    <n v="0.99839999999999995"/>
    <n v="0.05"/>
    <n v="0.08"/>
    <n v="0"/>
    <n v="0"/>
    <n v="0"/>
    <n v="0"/>
    <n v="0.42170000000000002"/>
    <n v="0.14349999999999999"/>
    <n v="-10.029999999999999"/>
    <n v="-98.37"/>
    <n v="0.99960000000000004"/>
    <n v="66.67"/>
    <n v="1"/>
    <n v="4.8999999999999998E-3"/>
    <n v="6.2E-2"/>
    <n v="0"/>
    <n v="0"/>
    <n v="32"/>
    <n v="0.99990000000000001"/>
    <n v="789501600"/>
    <n v="30.241700000000002"/>
    <n v="200.91589999999999"/>
    <n v="585.40840000000003"/>
  </r>
  <r>
    <x v="25"/>
    <s v="2026-03-08 09:00:00"/>
    <s v="1 hour"/>
    <s v="373"/>
    <s v="RNC_ZTE_Messamendongo(373)"/>
    <s v="373"/>
    <s v="RNC_ZTE_Messamendongo(373)"/>
    <s v="10599"/>
    <x v="1"/>
    <n v="100"/>
    <n v="1"/>
    <n v="27.32"/>
    <n v="2.1147"/>
    <n v="99.64"/>
    <n v="99.839999999999989"/>
    <n v="0.99839999999999995"/>
    <n v="0.99839999999999995"/>
    <n v="0"/>
    <n v="0.08"/>
    <n v="0"/>
    <n v="0"/>
    <n v="0"/>
    <n v="0"/>
    <n v="0.30859999999999999"/>
    <n v="0.1193"/>
    <n v="-9.2100000000000009"/>
    <n v="-99.5"/>
    <n v="0.99980000000000002"/>
    <n v="100"/>
    <n v="1"/>
    <n v="5.0000000000000001E-3"/>
    <n v="5.4899999999999997E-2"/>
    <n v="0"/>
    <n v="0"/>
    <n v="51"/>
    <n v="0.99990000000000001"/>
    <n v="789501600"/>
    <n v="24.69"/>
    <n v="106.9337"/>
    <n v="470.42829999999998"/>
  </r>
  <r>
    <x v="25"/>
    <s v="2026-03-08 09:00:00"/>
    <s v="1 hour"/>
    <s v="373"/>
    <s v="RNC_ZTE_Messamendongo(373)"/>
    <s v="373"/>
    <s v="RNC_ZTE_Messamendongo(373)"/>
    <s v="10900"/>
    <x v="2"/>
    <n v="100"/>
    <n v="1"/>
    <n v="34.369999999999997"/>
    <n v="3.1204999999999998"/>
    <n v="99.49"/>
    <n v="99.79"/>
    <n v="0.998"/>
    <n v="0.998"/>
    <n v="0.13"/>
    <n v="0.08"/>
    <n v="0"/>
    <n v="0"/>
    <n v="0"/>
    <n v="0"/>
    <n v="0.49959999999999999"/>
    <n v="0.14299999999999999"/>
    <n v="-9.56"/>
    <n v="-98.46"/>
    <n v="0.99929999999999997"/>
    <n v="84.21"/>
    <n v="0.97670000000000001"/>
    <n v="3.8E-3"/>
    <n v="4.4400000000000002E-2"/>
    <n v="0"/>
    <n v="0"/>
    <n v="32"/>
    <n v="0.99990000000000001"/>
    <n v="789501600"/>
    <n v="27.975000000000001"/>
    <n v="156.17859999999999"/>
    <n v="688.25739999999996"/>
  </r>
  <r>
    <x v="25"/>
    <s v="2026-03-08 09:00:00"/>
    <s v="1 hour"/>
    <s v="374"/>
    <s v="RNC_ZTE_Mvogada_new(374)"/>
    <s v="374"/>
    <s v="RNC_ZTE_Mvogada_new(374)"/>
    <s v="10269"/>
    <x v="3"/>
    <n v="100"/>
    <n v="1"/>
    <n v="69.5"/>
    <n v="4.2687999999999997"/>
    <n v="99.76"/>
    <n v="99.839999999999989"/>
    <n v="0.99839999999999995"/>
    <n v="0.99839999999999995"/>
    <n v="0.05"/>
    <n v="0.1"/>
    <n v="0"/>
    <n v="0"/>
    <n v="0"/>
    <n v="0"/>
    <n v="0.64"/>
    <n v="0.48709999999999998"/>
    <n v="-11.9"/>
    <n v="-95.46"/>
    <n v="0.99960000000000004"/>
    <n v="100"/>
    <n v="0.75"/>
    <n v="7.0000000000000001E-3"/>
    <n v="7.9399999999999998E-2"/>
    <n v="0"/>
    <n v="0"/>
    <n v="102"/>
    <n v="0.99990000000000001"/>
    <n v="789501600"/>
    <n v="61.968299999999999"/>
    <n v="290.85509999999999"/>
    <n v="881.8827"/>
  </r>
  <r>
    <x v="25"/>
    <s v="2026-03-08 09:00:00"/>
    <s v="1 hour"/>
    <s v="374"/>
    <s v="RNC_ZTE_Mvogada_new(374)"/>
    <s v="374"/>
    <s v="RNC_ZTE_Mvogada_new(374)"/>
    <s v="10535"/>
    <x v="4"/>
    <n v="100"/>
    <n v="1"/>
    <n v="37.590000000000003"/>
    <n v="4.3483000000000001"/>
    <n v="99.660000000000011"/>
    <n v="99.88"/>
    <n v="0.99880000000000002"/>
    <n v="0.99890000000000001"/>
    <n v="0.09"/>
    <n v="0.05"/>
    <n v="0"/>
    <n v="0"/>
    <n v="0"/>
    <n v="0"/>
    <n v="0.63400000000000001"/>
    <n v="0.31879999999999997"/>
    <n v="-10.99"/>
    <n v="-97.03"/>
    <n v="0.99960000000000004"/>
    <m/>
    <n v="0.5"/>
    <n v="6.7999999999999996E-3"/>
    <n v="5.6800000000000003E-2"/>
    <n v="0"/>
    <n v="0"/>
    <n v="35"/>
    <n v="1"/>
    <n v="789501600"/>
    <n v="39.125"/>
    <n v="201.17760000000001"/>
    <n v="998.38580000000002"/>
  </r>
  <r>
    <x v="25"/>
    <s v="2026-03-08 09:00:00"/>
    <s v="1 hour"/>
    <s v="374"/>
    <s v="RNC_ZTE_Mvogada_new(374)"/>
    <s v="374"/>
    <s v="RNC_ZTE_Mvogada_new(374)"/>
    <s v="1057"/>
    <x v="5"/>
    <n v="100"/>
    <n v="1"/>
    <n v="58.98"/>
    <n v="3.8656999999999999"/>
    <n v="99.79"/>
    <n v="99.77000000000001"/>
    <n v="0.99770000000000003"/>
    <n v="0.99780000000000002"/>
    <n v="0.12"/>
    <n v="0.06"/>
    <n v="0"/>
    <n v="0"/>
    <n v="0"/>
    <n v="0"/>
    <n v="0.64949999999999997"/>
    <n v="0.41410000000000002"/>
    <n v="-10.74"/>
    <n v="-94.66"/>
    <n v="0.99960000000000004"/>
    <m/>
    <n v="0.88890000000000002"/>
    <n v="6.1999999999999998E-3"/>
    <n v="5.3999999999999999E-2"/>
    <n v="0"/>
    <n v="0"/>
    <n v="39"/>
    <n v="1"/>
    <n v="789501600"/>
    <n v="44.743400000000001"/>
    <n v="239.7079"/>
    <n v="800.36800000000005"/>
  </r>
  <r>
    <x v="25"/>
    <s v="2026-03-08 09:00:00"/>
    <s v="1 hour"/>
    <s v="374"/>
    <s v="RNC_ZTE_Mvogada_new(374)"/>
    <s v="374"/>
    <s v="RNC_ZTE_Mvogada_new(374)"/>
    <s v="10726"/>
    <x v="6"/>
    <n v="87.88"/>
    <n v="0.87880000000000003"/>
    <n v="34.9"/>
    <n v="3.3273999999999999"/>
    <n v="99.82"/>
    <n v="99.81"/>
    <n v="0.99809999999999999"/>
    <n v="0.99809999999999999"/>
    <n v="0.1"/>
    <n v="0.05"/>
    <n v="0"/>
    <n v="0"/>
    <n v="0"/>
    <n v="0"/>
    <n v="0.4496"/>
    <n v="0.31390000000000001"/>
    <n v="-9.6"/>
    <n v="-99.71"/>
    <n v="0.99990000000000001"/>
    <m/>
    <n v="1"/>
    <n v="6.7000000000000002E-3"/>
    <n v="7.7600000000000002E-2"/>
    <n v="0"/>
    <n v="0"/>
    <n v="47"/>
    <n v="1"/>
    <n v="789504218"/>
    <n v="34.135100000000001"/>
    <n v="209.6422"/>
    <n v="698.98969999999997"/>
  </r>
  <r>
    <x v="26"/>
    <s v="2026-03-08 10:00:00"/>
    <s v="1 hour"/>
    <s v="373"/>
    <s v="RNC_ZTE_Messamendongo(373)"/>
    <s v="373"/>
    <s v="RNC_ZTE_Messamendongo(373)"/>
    <s v="10468"/>
    <x v="0"/>
    <n v="100"/>
    <n v="1"/>
    <n v="34.619999999999997"/>
    <n v="3.1002999999999998"/>
    <n v="99.65"/>
    <n v="99.78"/>
    <n v="0.99780000000000002"/>
    <n v="0.99770000000000003"/>
    <n v="0.05"/>
    <n v="6.9999999999999993E-2"/>
    <n v="0"/>
    <n v="0"/>
    <n v="0"/>
    <n v="0"/>
    <n v="0.44469999999999998"/>
    <n v="0.1774"/>
    <n v="-10.19"/>
    <n v="-98.08"/>
    <n v="0.99980000000000002"/>
    <n v="85.71"/>
    <n v="1"/>
    <n v="4.0000000000000001E-3"/>
    <n v="5.2600000000000001E-2"/>
    <n v="0"/>
    <n v="0"/>
    <n v="41"/>
    <n v="0.99990000000000001"/>
    <n v="789501600"/>
    <n v="33.986699999999999"/>
    <n v="163.05760000000001"/>
    <n v="675.48889999999994"/>
  </r>
  <r>
    <x v="26"/>
    <s v="2026-03-08 10:00:00"/>
    <s v="1 hour"/>
    <s v="373"/>
    <s v="RNC_ZTE_Messamendongo(373)"/>
    <s v="373"/>
    <s v="RNC_ZTE_Messamendongo(373)"/>
    <s v="10599"/>
    <x v="1"/>
    <n v="100"/>
    <n v="1"/>
    <n v="23.76"/>
    <n v="2.4180000000000001"/>
    <n v="99.550000000000011"/>
    <n v="99.7"/>
    <n v="0.997"/>
    <n v="0.99719999999999998"/>
    <n v="6.9999999999999993E-2"/>
    <n v="0.12"/>
    <n v="0"/>
    <n v="0"/>
    <n v="0"/>
    <n v="0"/>
    <n v="0.34410000000000002"/>
    <n v="0.14069999999999999"/>
    <n v="-9.36"/>
    <n v="-98.6"/>
    <n v="0.99960000000000004"/>
    <m/>
    <n v="1"/>
    <n v="6.4000000000000003E-3"/>
    <n v="5.1200000000000002E-2"/>
    <n v="0"/>
    <n v="0"/>
    <n v="64"/>
    <n v="0.99990000000000001"/>
    <n v="789501600"/>
    <n v="29.275099999999998"/>
    <n v="125.1418"/>
    <n v="526.54319999999996"/>
  </r>
  <r>
    <x v="26"/>
    <s v="2026-03-08 10:00:00"/>
    <s v="1 hour"/>
    <s v="373"/>
    <s v="RNC_ZTE_Messamendongo(373)"/>
    <s v="373"/>
    <s v="RNC_ZTE_Messamendongo(373)"/>
    <s v="10900"/>
    <x v="2"/>
    <n v="100"/>
    <n v="1"/>
    <n v="31.03"/>
    <n v="3.3403999999999998"/>
    <n v="99.25"/>
    <n v="99.79"/>
    <n v="0.99790000000000001"/>
    <n v="0.99790000000000001"/>
    <n v="0"/>
    <n v="0.05"/>
    <n v="0"/>
    <n v="0"/>
    <n v="0"/>
    <n v="0"/>
    <n v="0.4859"/>
    <n v="0.16769999999999999"/>
    <n v="-9.64"/>
    <n v="-98.4"/>
    <n v="0.99980000000000002"/>
    <n v="86.67"/>
    <n v="0.88329999999999997"/>
    <n v="4.7000000000000002E-3"/>
    <n v="4.87E-2"/>
    <n v="0"/>
    <n v="0"/>
    <n v="31"/>
    <n v="0.99960000000000004"/>
    <n v="789501600"/>
    <n v="32.978299999999997"/>
    <n v="159.03729999999999"/>
    <n v="769.06830000000002"/>
  </r>
  <r>
    <x v="26"/>
    <s v="2026-03-08 10:00:00"/>
    <s v="1 hour"/>
    <s v="374"/>
    <s v="RNC_ZTE_Mvogada_new(374)"/>
    <s v="374"/>
    <s v="RNC_ZTE_Mvogada_new(374)"/>
    <s v="10269"/>
    <x v="3"/>
    <n v="100"/>
    <n v="1"/>
    <n v="70.5"/>
    <n v="4.2584"/>
    <n v="99.660000000000011"/>
    <n v="99.77000000000001"/>
    <n v="0.99770000000000003"/>
    <n v="0.99760000000000004"/>
    <n v="0.1"/>
    <n v="0.11"/>
    <n v="0"/>
    <n v="0"/>
    <n v="0"/>
    <n v="0"/>
    <n v="0.6663"/>
    <n v="0.48570000000000002"/>
    <n v="-12.15"/>
    <n v="-95.51"/>
    <n v="0.99960000000000004"/>
    <n v="100"/>
    <n v="0.8"/>
    <n v="7.1000000000000004E-3"/>
    <n v="8.7499999999999994E-2"/>
    <n v="0"/>
    <n v="0"/>
    <n v="91"/>
    <n v="1"/>
    <n v="789501600"/>
    <n v="62.091700000000003"/>
    <n v="276.8974"/>
    <n v="879.09950000000003"/>
  </r>
  <r>
    <x v="26"/>
    <s v="2026-03-08 10:00:00"/>
    <s v="1 hour"/>
    <s v="374"/>
    <s v="RNC_ZTE_Mvogada_new(374)"/>
    <s v="374"/>
    <s v="RNC_ZTE_Mvogada_new(374)"/>
    <s v="10535"/>
    <x v="4"/>
    <n v="100"/>
    <n v="1"/>
    <n v="39.68"/>
    <n v="3.8565"/>
    <n v="99.64"/>
    <n v="99.87"/>
    <n v="0.99870000000000003"/>
    <n v="0.99870000000000003"/>
    <n v="0"/>
    <n v="0.06"/>
    <n v="0"/>
    <n v="0"/>
    <n v="0"/>
    <n v="0"/>
    <n v="0.55630000000000002"/>
    <n v="0.32240000000000002"/>
    <n v="-10.44"/>
    <n v="-96.93"/>
    <n v="0.99950000000000006"/>
    <m/>
    <n v="1"/>
    <n v="6.1999999999999998E-3"/>
    <n v="5.2499999999999998E-2"/>
    <n v="0"/>
    <n v="0"/>
    <n v="38"/>
    <n v="1"/>
    <n v="789501600"/>
    <n v="38.35"/>
    <n v="244.61799999999999"/>
    <n v="806.22739999999999"/>
  </r>
  <r>
    <x v="26"/>
    <s v="2026-03-08 10:00:00"/>
    <s v="1 hour"/>
    <s v="374"/>
    <s v="RNC_ZTE_Mvogada_new(374)"/>
    <s v="374"/>
    <s v="RNC_ZTE_Mvogada_new(374)"/>
    <s v="1057"/>
    <x v="5"/>
    <n v="100"/>
    <n v="1"/>
    <n v="68.099999999999994"/>
    <n v="4.5561999999999996"/>
    <n v="99.6"/>
    <n v="99.88"/>
    <n v="0.99880000000000002"/>
    <n v="0.99880000000000002"/>
    <n v="0"/>
    <n v="0.06"/>
    <n v="0"/>
    <n v="0"/>
    <n v="0"/>
    <n v="0"/>
    <n v="0.7107"/>
    <n v="0.50800000000000001"/>
    <n v="-11.38"/>
    <n v="-94.4"/>
    <n v="0.99960000000000004"/>
    <m/>
    <n v="0.88890000000000002"/>
    <n v="5.7000000000000002E-3"/>
    <n v="5.0700000000000002E-2"/>
    <n v="0"/>
    <n v="0"/>
    <n v="38"/>
    <n v="1"/>
    <n v="789501600"/>
    <n v="54.486699999999999"/>
    <n v="320.57850000000002"/>
    <n v="899.91489999999999"/>
  </r>
  <r>
    <x v="26"/>
    <s v="2026-03-08 10:00:00"/>
    <s v="1 hour"/>
    <s v="374"/>
    <s v="RNC_ZTE_Mvogada_new(374)"/>
    <s v="374"/>
    <s v="RNC_ZTE_Mvogada_new(374)"/>
    <s v="10726"/>
    <x v="6"/>
    <n v="100"/>
    <n v="1"/>
    <n v="39.880000000000003"/>
    <n v="4.0414000000000003"/>
    <n v="99.8"/>
    <n v="99.91"/>
    <n v="0.99909999999999999"/>
    <n v="0.99909999999999999"/>
    <n v="0"/>
    <n v="0.05"/>
    <n v="0"/>
    <n v="0"/>
    <n v="0"/>
    <n v="0"/>
    <n v="0.49490000000000001"/>
    <n v="0.37319999999999998"/>
    <n v="-9.91"/>
    <n v="-99.99"/>
    <n v="0.99990000000000001"/>
    <m/>
    <n v="1"/>
    <n v="6.1999999999999998E-3"/>
    <n v="6.9099999999999995E-2"/>
    <n v="0"/>
    <n v="0"/>
    <n v="43"/>
    <n v="1"/>
    <n v="789501600"/>
    <n v="37.5017"/>
    <n v="216.4083"/>
    <n v="895.22529999999995"/>
  </r>
  <r>
    <x v="27"/>
    <s v="2026-03-08 11:00:00"/>
    <s v="1 hour"/>
    <s v="373"/>
    <s v="RNC_ZTE_Messamendongo(373)"/>
    <s v="373"/>
    <s v="RNC_ZTE_Messamendongo(373)"/>
    <s v="10468"/>
    <x v="0"/>
    <n v="100"/>
    <n v="1"/>
    <n v="31.88"/>
    <n v="3.3151000000000002"/>
    <n v="99.89"/>
    <n v="99.86"/>
    <n v="0.99860000000000004"/>
    <n v="0.99860000000000004"/>
    <n v="0.05"/>
    <n v="0.09"/>
    <n v="0"/>
    <n v="0"/>
    <n v="0"/>
    <n v="0"/>
    <n v="0.46560000000000001"/>
    <n v="0.1799"/>
    <n v="-10.48"/>
    <n v="-98.03"/>
    <n v="0.99950000000000006"/>
    <n v="100"/>
    <n v="1"/>
    <n v="5.4000000000000003E-3"/>
    <n v="6.2700000000000006E-2"/>
    <n v="0"/>
    <n v="0"/>
    <n v="47"/>
    <n v="0.99990000000000001"/>
    <n v="789501600"/>
    <n v="36.488300000000002"/>
    <n v="173.398"/>
    <n v="728.61990000000003"/>
  </r>
  <r>
    <x v="27"/>
    <s v="2026-03-08 11:00:00"/>
    <s v="1 hour"/>
    <s v="373"/>
    <s v="RNC_ZTE_Messamendongo(373)"/>
    <s v="373"/>
    <s v="RNC_ZTE_Messamendongo(373)"/>
    <s v="10599"/>
    <x v="1"/>
    <n v="100"/>
    <n v="1"/>
    <n v="24.85"/>
    <n v="2.2852000000000001"/>
    <n v="99.75"/>
    <n v="99.8"/>
    <n v="0.998"/>
    <n v="0.99809999999999999"/>
    <n v="0"/>
    <n v="0.09"/>
    <n v="0"/>
    <n v="0"/>
    <n v="0"/>
    <n v="0"/>
    <n v="0.35770000000000002"/>
    <n v="0.12470000000000001"/>
    <n v="-9.48"/>
    <n v="-99.43"/>
    <n v="0.99980000000000002"/>
    <m/>
    <n v="1"/>
    <n v="5.4000000000000003E-3"/>
    <n v="5.8700000000000002E-2"/>
    <n v="0"/>
    <n v="0"/>
    <n v="55"/>
    <n v="1"/>
    <n v="789501600"/>
    <n v="23.851700000000001"/>
    <n v="106.60550000000001"/>
    <n v="511.31630000000001"/>
  </r>
  <r>
    <x v="27"/>
    <s v="2026-03-08 11:00:00"/>
    <s v="1 hour"/>
    <s v="373"/>
    <s v="RNC_ZTE_Messamendongo(373)"/>
    <s v="373"/>
    <s v="RNC_ZTE_Messamendongo(373)"/>
    <s v="10900"/>
    <x v="2"/>
    <n v="100"/>
    <n v="1"/>
    <n v="28.84"/>
    <n v="3.2473000000000001"/>
    <n v="99.77000000000001"/>
    <n v="99.82"/>
    <n v="0.99819999999999998"/>
    <n v="0.99809999999999999"/>
    <n v="0"/>
    <n v="0.09"/>
    <n v="0"/>
    <n v="0"/>
    <n v="0"/>
    <n v="0"/>
    <n v="0.55059999999999998"/>
    <n v="0.19950000000000001"/>
    <n v="-9.8699999999999992"/>
    <n v="-98.45"/>
    <n v="0.999"/>
    <n v="75"/>
    <n v="0.94"/>
    <n v="4.7000000000000002E-3"/>
    <n v="4.8300000000000003E-2"/>
    <n v="0"/>
    <n v="0"/>
    <n v="39"/>
    <n v="0.99960000000000004"/>
    <n v="789501600"/>
    <n v="36.181699999999999"/>
    <n v="149.71350000000001"/>
    <n v="748.91250000000002"/>
  </r>
  <r>
    <x v="27"/>
    <s v="2026-03-08 11:00:00"/>
    <s v="1 hour"/>
    <s v="374"/>
    <s v="RNC_ZTE_Mvogada_new(374)"/>
    <s v="374"/>
    <s v="RNC_ZTE_Mvogada_new(374)"/>
    <s v="10269"/>
    <x v="3"/>
    <n v="100"/>
    <n v="1"/>
    <n v="66.05"/>
    <n v="4.5174000000000003"/>
    <n v="99.59"/>
    <n v="99.78"/>
    <n v="0.99780000000000002"/>
    <n v="0.99770000000000003"/>
    <n v="0.15"/>
    <n v="0.11"/>
    <n v="0"/>
    <n v="0"/>
    <n v="0"/>
    <n v="0"/>
    <n v="0.66790000000000005"/>
    <n v="0.50590000000000002"/>
    <n v="-12.09"/>
    <n v="-95.2"/>
    <n v="0.99970000000000003"/>
    <n v="100"/>
    <n v="1"/>
    <n v="6.4999999999999997E-3"/>
    <n v="7.7499999999999999E-2"/>
    <n v="0"/>
    <n v="0"/>
    <n v="98"/>
    <n v="1"/>
    <n v="789501600"/>
    <n v="64.08"/>
    <n v="297.02069999999998"/>
    <n v="936.48299999999995"/>
  </r>
  <r>
    <x v="27"/>
    <s v="2026-03-08 11:00:00"/>
    <s v="1 hour"/>
    <s v="374"/>
    <s v="RNC_ZTE_Mvogada_new(374)"/>
    <s v="374"/>
    <s v="RNC_ZTE_Mvogada_new(374)"/>
    <s v="10535"/>
    <x v="4"/>
    <n v="100"/>
    <n v="1"/>
    <n v="37.82"/>
    <n v="3.9847000000000001"/>
    <n v="99.92"/>
    <n v="99.88"/>
    <n v="0.99880000000000002"/>
    <n v="0.99880000000000002"/>
    <n v="0.18"/>
    <n v="6.9999999999999993E-2"/>
    <n v="0"/>
    <n v="0"/>
    <n v="0"/>
    <n v="0"/>
    <n v="0.60640000000000005"/>
    <n v="0.30420000000000003"/>
    <n v="-10.96"/>
    <n v="-96.53"/>
    <n v="0.99970000000000003"/>
    <m/>
    <n v="1"/>
    <n v="6.1000000000000004E-3"/>
    <n v="5.7000000000000002E-2"/>
    <n v="0"/>
    <n v="0"/>
    <n v="49"/>
    <n v="1"/>
    <n v="789501600"/>
    <n v="39.1267"/>
    <n v="216.9965"/>
    <n v="862.9203"/>
  </r>
  <r>
    <x v="27"/>
    <s v="2026-03-08 11:00:00"/>
    <s v="1 hour"/>
    <s v="374"/>
    <s v="RNC_ZTE_Mvogada_new(374)"/>
    <s v="374"/>
    <s v="RNC_ZTE_Mvogada_new(374)"/>
    <s v="1057"/>
    <x v="5"/>
    <n v="100"/>
    <n v="1"/>
    <n v="65.900000000000006"/>
    <n v="4.1642000000000001"/>
    <n v="99.350000000000009"/>
    <n v="99.81"/>
    <n v="0.99809999999999999"/>
    <n v="0.99819999999999998"/>
    <n v="0.02"/>
    <n v="0.09"/>
    <n v="0"/>
    <n v="0"/>
    <n v="0"/>
    <n v="0"/>
    <n v="0.70799999999999996"/>
    <n v="0.47789999999999999"/>
    <n v="-11.28"/>
    <n v="-92.43"/>
    <n v="0.99980000000000002"/>
    <m/>
    <n v="0.86670000000000003"/>
    <n v="7.6E-3"/>
    <n v="4.7800000000000002E-2"/>
    <n v="0"/>
    <n v="0"/>
    <n v="37"/>
    <n v="1"/>
    <n v="789501600"/>
    <n v="54.661700000000003"/>
    <n v="273.28399999999999"/>
    <n v="849.31659999999999"/>
  </r>
  <r>
    <x v="27"/>
    <s v="2026-03-08 11:00:00"/>
    <s v="1 hour"/>
    <s v="374"/>
    <s v="RNC_ZTE_Mvogada_new(374)"/>
    <s v="374"/>
    <s v="RNC_ZTE_Mvogada_new(374)"/>
    <s v="10726"/>
    <x v="6"/>
    <n v="100"/>
    <n v="1"/>
    <n v="39.119999999999997"/>
    <n v="4.6066000000000003"/>
    <n v="99.56"/>
    <n v="99.86"/>
    <n v="0.99860000000000004"/>
    <n v="0.99860000000000004"/>
    <n v="0"/>
    <n v="0.06"/>
    <n v="0"/>
    <n v="0"/>
    <n v="0"/>
    <n v="0"/>
    <n v="0.58650000000000002"/>
    <n v="0.38300000000000001"/>
    <n v="-10.42"/>
    <n v="-99.33"/>
    <n v="0.99970000000000003"/>
    <m/>
    <n v="1"/>
    <n v="6.1999999999999998E-3"/>
    <n v="6.59E-2"/>
    <n v="0"/>
    <n v="0"/>
    <n v="45"/>
    <n v="1"/>
    <n v="789501600"/>
    <n v="39.468400000000003"/>
    <n v="238.49010000000001"/>
    <n v="1037.8707999999999"/>
  </r>
  <r>
    <x v="28"/>
    <s v="2026-03-08 12:00:00"/>
    <s v="1 hour"/>
    <s v="373"/>
    <s v="RNC_ZTE_Messamendongo(373)"/>
    <s v="373"/>
    <s v="RNC_ZTE_Messamendongo(373)"/>
    <s v="10468"/>
    <x v="0"/>
    <n v="100"/>
    <n v="1"/>
    <n v="31.66"/>
    <n v="3.5855999999999999"/>
    <n v="99.7"/>
    <n v="99.850000000000009"/>
    <n v="0.99850000000000005"/>
    <n v="0.99850000000000005"/>
    <n v="0.1"/>
    <n v="0.09"/>
    <n v="0"/>
    <n v="0"/>
    <n v="0"/>
    <n v="0"/>
    <n v="0.48130000000000001"/>
    <n v="0.19289999999999999"/>
    <n v="-10.5"/>
    <n v="-97.83"/>
    <n v="0.99950000000000006"/>
    <n v="100"/>
    <n v="0.66669999999999996"/>
    <n v="4.4999999999999997E-3"/>
    <n v="4.8800000000000003E-2"/>
    <n v="0"/>
    <n v="0"/>
    <n v="49"/>
    <n v="0.99990000000000001"/>
    <n v="789501600"/>
    <n v="37.898400000000002"/>
    <n v="187.32910000000001"/>
    <n v="799.10509999999999"/>
  </r>
  <r>
    <x v="28"/>
    <s v="2026-03-08 12:00:00"/>
    <s v="1 hour"/>
    <s v="373"/>
    <s v="RNC_ZTE_Messamendongo(373)"/>
    <s v="373"/>
    <s v="RNC_ZTE_Messamendongo(373)"/>
    <s v="10599"/>
    <x v="1"/>
    <n v="100"/>
    <n v="1"/>
    <n v="26.75"/>
    <n v="3.2669000000000001"/>
    <n v="99.94"/>
    <n v="99.82"/>
    <n v="0.99809999999999999"/>
    <n v="0.99809999999999999"/>
    <n v="0"/>
    <n v="6.9999999999999993E-2"/>
    <n v="0"/>
    <n v="0"/>
    <n v="0"/>
    <n v="0"/>
    <n v="0.3947"/>
    <n v="0.1353"/>
    <n v="-9.8800000000000008"/>
    <n v="-99.06"/>
    <n v="0.99970000000000003"/>
    <m/>
    <n v="1"/>
    <n v="5.1999999999999998E-3"/>
    <n v="4.7E-2"/>
    <n v="0"/>
    <n v="0"/>
    <n v="72"/>
    <n v="1"/>
    <n v="789501600"/>
    <n v="27.51"/>
    <n v="147.96010000000001"/>
    <n v="744.31110000000001"/>
  </r>
  <r>
    <x v="28"/>
    <s v="2026-03-08 12:00:00"/>
    <s v="1 hour"/>
    <s v="373"/>
    <s v="RNC_ZTE_Messamendongo(373)"/>
    <s v="373"/>
    <s v="RNC_ZTE_Messamendongo(373)"/>
    <s v="10900"/>
    <x v="2"/>
    <n v="100"/>
    <n v="1"/>
    <n v="26.42"/>
    <n v="3.0935000000000001"/>
    <n v="99.33"/>
    <n v="99.850000000000009"/>
    <n v="0.99850000000000005"/>
    <n v="0.99839999999999995"/>
    <n v="0.2"/>
    <n v="0.1"/>
    <n v="0"/>
    <n v="0"/>
    <n v="0"/>
    <n v="0"/>
    <n v="0.48480000000000001"/>
    <n v="0.18099999999999999"/>
    <n v="-9.0299999999999994"/>
    <n v="-98.28"/>
    <n v="0.99929999999999997"/>
    <n v="87.5"/>
    <n v="0.96"/>
    <n v="4.8999999999999998E-3"/>
    <n v="4.3999999999999997E-2"/>
    <n v="0"/>
    <n v="0"/>
    <n v="31"/>
    <n v="0.99960000000000004"/>
    <n v="789501600"/>
    <n v="33.121699999999997"/>
    <n v="145.92750000000001"/>
    <n v="683.92750000000001"/>
  </r>
  <r>
    <x v="28"/>
    <s v="2026-03-08 12:00:00"/>
    <s v="1 hour"/>
    <s v="374"/>
    <s v="RNC_ZTE_Mvogada_new(374)"/>
    <s v="374"/>
    <s v="RNC_ZTE_Mvogada_new(374)"/>
    <s v="10269"/>
    <x v="3"/>
    <n v="100"/>
    <n v="1"/>
    <n v="62.15"/>
    <n v="4.5793999999999997"/>
    <n v="99.72999999999999"/>
    <n v="99.81"/>
    <n v="0.99809999999999999"/>
    <n v="0.998"/>
    <n v="0.13"/>
    <n v="0.13"/>
    <n v="0"/>
    <n v="0"/>
    <n v="0"/>
    <n v="0"/>
    <n v="0.6522"/>
    <n v="0.497"/>
    <n v="-11.98"/>
    <n v="-95.24"/>
    <n v="0.99939999999999996"/>
    <n v="100"/>
    <n v="1"/>
    <n v="6.8999999999999999E-3"/>
    <n v="8.0699999999999994E-2"/>
    <n v="0"/>
    <n v="0"/>
    <n v="116"/>
    <n v="0.99990000000000001"/>
    <n v="789501600"/>
    <n v="65.418400000000005"/>
    <n v="298.15280000000001"/>
    <n v="960.27229999999997"/>
  </r>
  <r>
    <x v="28"/>
    <s v="2026-03-08 12:00:00"/>
    <s v="1 hour"/>
    <s v="374"/>
    <s v="RNC_ZTE_Mvogada_new(374)"/>
    <s v="374"/>
    <s v="RNC_ZTE_Mvogada_new(374)"/>
    <s v="10535"/>
    <x v="4"/>
    <n v="100"/>
    <n v="1"/>
    <n v="33.26"/>
    <n v="4.3316999999999997"/>
    <n v="99.64"/>
    <n v="99.87"/>
    <n v="0.99870000000000003"/>
    <n v="0.99870000000000003"/>
    <n v="0.04"/>
    <n v="0.09"/>
    <n v="0"/>
    <n v="0"/>
    <n v="0"/>
    <n v="0"/>
    <n v="0.61539999999999995"/>
    <n v="0.312"/>
    <n v="-11.05"/>
    <n v="-96.87"/>
    <n v="0.99970000000000003"/>
    <n v="100"/>
    <n v="1"/>
    <n v="7.4000000000000003E-3"/>
    <n v="7.0699999999999999E-2"/>
    <n v="0"/>
    <n v="0"/>
    <n v="50"/>
    <n v="1"/>
    <n v="789501600"/>
    <n v="41.5017"/>
    <n v="222.61590000000001"/>
    <n v="966.31780000000003"/>
  </r>
  <r>
    <x v="28"/>
    <s v="2026-03-08 12:00:00"/>
    <s v="1 hour"/>
    <s v="374"/>
    <s v="RNC_ZTE_Mvogada_new(374)"/>
    <s v="374"/>
    <s v="RNC_ZTE_Mvogada_new(374)"/>
    <s v="1057"/>
    <x v="5"/>
    <n v="100"/>
    <n v="1"/>
    <n v="69.040000000000006"/>
    <n v="4.3636999999999997"/>
    <n v="99.86"/>
    <n v="99.79"/>
    <n v="0.99790000000000001"/>
    <n v="0.99809999999999999"/>
    <n v="0.02"/>
    <n v="0.08"/>
    <n v="0"/>
    <n v="0"/>
    <n v="0"/>
    <n v="0"/>
    <n v="0.7258"/>
    <n v="0.49370000000000003"/>
    <n v="-11.49"/>
    <n v="-94.01"/>
    <n v="0.99980000000000002"/>
    <m/>
    <n v="0.96"/>
    <n v="7.0000000000000001E-3"/>
    <n v="5.0500000000000003E-2"/>
    <n v="0"/>
    <n v="0"/>
    <n v="49"/>
    <n v="1"/>
    <n v="789501600"/>
    <n v="58.186599999999999"/>
    <n v="286.66070000000002"/>
    <n v="870.00149999999996"/>
  </r>
  <r>
    <x v="28"/>
    <s v="2026-03-08 12:00:00"/>
    <s v="1 hour"/>
    <s v="374"/>
    <s v="RNC_ZTE_Mvogada_new(374)"/>
    <s v="374"/>
    <s v="RNC_ZTE_Mvogada_new(374)"/>
    <s v="10726"/>
    <x v="6"/>
    <n v="100"/>
    <n v="1"/>
    <n v="38.729999999999997"/>
    <n v="4.3318000000000003"/>
    <n v="99.83"/>
    <n v="99.86"/>
    <n v="0.99860000000000004"/>
    <n v="0.99860000000000004"/>
    <n v="0"/>
    <n v="0.05"/>
    <n v="0"/>
    <n v="0"/>
    <n v="0"/>
    <n v="0"/>
    <n v="0.55230000000000001"/>
    <n v="0.35830000000000001"/>
    <n v="-10.210000000000001"/>
    <n v="-100.03"/>
    <n v="0.99980000000000002"/>
    <m/>
    <n v="0.75"/>
    <n v="6.0000000000000001E-3"/>
    <n v="6.2100000000000002E-2"/>
    <n v="0"/>
    <n v="0"/>
    <n v="42"/>
    <n v="1"/>
    <n v="789501600"/>
    <n v="38.704999999999998"/>
    <n v="230.9744"/>
    <n v="954.74149999999997"/>
  </r>
  <r>
    <x v="29"/>
    <s v="2026-03-08 13:00:00"/>
    <s v="1 hour"/>
    <s v="373"/>
    <s v="RNC_ZTE_Messamendongo(373)"/>
    <s v="373"/>
    <s v="RNC_ZTE_Messamendongo(373)"/>
    <s v="10468"/>
    <x v="0"/>
    <n v="100"/>
    <n v="1"/>
    <n v="30.97"/>
    <n v="2.9805000000000001"/>
    <n v="99.7"/>
    <n v="99.86"/>
    <n v="0.99860000000000004"/>
    <n v="0.99850000000000005"/>
    <n v="0.05"/>
    <n v="0.1"/>
    <n v="0"/>
    <n v="0"/>
    <n v="0"/>
    <n v="0"/>
    <n v="0.45429999999999998"/>
    <n v="0.18160000000000001"/>
    <n v="-10.46"/>
    <n v="-98.15"/>
    <n v="0.99970000000000003"/>
    <n v="100"/>
    <n v="0.5"/>
    <n v="4.5999999999999999E-3"/>
    <n v="5.3800000000000001E-2"/>
    <n v="0"/>
    <n v="0"/>
    <n v="34"/>
    <n v="1"/>
    <n v="789501600"/>
    <n v="35.063400000000001"/>
    <n v="166.75280000000001"/>
    <n v="638.43179999999995"/>
  </r>
  <r>
    <x v="29"/>
    <s v="2026-03-08 13:00:00"/>
    <s v="1 hour"/>
    <s v="373"/>
    <s v="RNC_ZTE_Messamendongo(373)"/>
    <s v="373"/>
    <s v="RNC_ZTE_Messamendongo(373)"/>
    <s v="10599"/>
    <x v="1"/>
    <n v="100"/>
    <n v="1"/>
    <n v="24.65"/>
    <n v="3.3531"/>
    <n v="100"/>
    <n v="99.88"/>
    <n v="0.99880000000000002"/>
    <n v="0.99880000000000002"/>
    <n v="0"/>
    <n v="0.09"/>
    <n v="0"/>
    <n v="0"/>
    <n v="0"/>
    <n v="0"/>
    <n v="0.35680000000000001"/>
    <n v="0.128"/>
    <n v="-9.06"/>
    <n v="-99.34"/>
    <n v="0.99950000000000006"/>
    <n v="100"/>
    <n v="1"/>
    <n v="5.3E-3"/>
    <n v="4.6399999999999997E-2"/>
    <n v="0"/>
    <n v="0"/>
    <n v="57"/>
    <n v="1"/>
    <n v="789501600"/>
    <n v="26.833400000000001"/>
    <n v="184.39510000000001"/>
    <n v="739.64369999999997"/>
  </r>
  <r>
    <x v="29"/>
    <s v="2026-03-08 13:00:00"/>
    <s v="1 hour"/>
    <s v="373"/>
    <s v="RNC_ZTE_Messamendongo(373)"/>
    <s v="373"/>
    <s v="RNC_ZTE_Messamendongo(373)"/>
    <s v="10900"/>
    <x v="2"/>
    <n v="100"/>
    <n v="1"/>
    <n v="25.66"/>
    <n v="3.2865000000000002"/>
    <n v="99.52"/>
    <n v="99.839999999999989"/>
    <n v="0.99839999999999995"/>
    <n v="0.99829999999999997"/>
    <n v="0"/>
    <n v="0.05"/>
    <n v="0"/>
    <n v="0"/>
    <n v="0"/>
    <n v="0"/>
    <n v="0.53149999999999997"/>
    <n v="0.182"/>
    <n v="-9.44"/>
    <n v="-98.27"/>
    <n v="0.99960000000000004"/>
    <n v="86.67"/>
    <n v="0.89800000000000002"/>
    <n v="4.8999999999999998E-3"/>
    <n v="4.7500000000000001E-2"/>
    <n v="0"/>
    <n v="0"/>
    <n v="37"/>
    <n v="0.99960000000000004"/>
    <n v="789501600"/>
    <n v="36.181600000000003"/>
    <n v="174.834"/>
    <n v="714.77359999999999"/>
  </r>
  <r>
    <x v="29"/>
    <s v="2026-03-08 13:00:00"/>
    <s v="1 hour"/>
    <s v="374"/>
    <s v="RNC_ZTE_Mvogada_new(374)"/>
    <s v="374"/>
    <s v="RNC_ZTE_Mvogada_new(374)"/>
    <s v="10269"/>
    <x v="3"/>
    <n v="100"/>
    <n v="1"/>
    <n v="61.34"/>
    <n v="4.4936999999999996"/>
    <n v="99.74"/>
    <n v="99.850000000000009"/>
    <n v="0.99839999999999995"/>
    <n v="0.99839999999999995"/>
    <n v="0.08"/>
    <n v="0.1"/>
    <n v="0"/>
    <n v="0"/>
    <n v="0"/>
    <n v="0"/>
    <n v="0.66590000000000005"/>
    <n v="0.4793"/>
    <n v="-12.05"/>
    <n v="-95.54"/>
    <n v="0.99960000000000004"/>
    <m/>
    <n v="1"/>
    <n v="7.9000000000000008E-3"/>
    <n v="8.5199999999999998E-2"/>
    <n v="0"/>
    <n v="0"/>
    <n v="110"/>
    <n v="0.99990000000000001"/>
    <n v="789501600"/>
    <n v="71.018299999999996"/>
    <n v="291.68"/>
    <n v="934.14890000000003"/>
  </r>
  <r>
    <x v="29"/>
    <s v="2026-03-08 13:00:00"/>
    <s v="1 hour"/>
    <s v="374"/>
    <s v="RNC_ZTE_Mvogada_new(374)"/>
    <s v="374"/>
    <s v="RNC_ZTE_Mvogada_new(374)"/>
    <s v="10535"/>
    <x v="4"/>
    <n v="100"/>
    <n v="1"/>
    <n v="34.49"/>
    <n v="5.0105000000000004"/>
    <n v="99.83"/>
    <n v="99.86"/>
    <n v="0.99860000000000004"/>
    <n v="0.99860000000000004"/>
    <n v="0.04"/>
    <n v="0.04"/>
    <n v="0"/>
    <n v="0"/>
    <n v="0"/>
    <n v="0"/>
    <n v="0.66"/>
    <n v="0.3165"/>
    <n v="-11.42"/>
    <n v="-96.83"/>
    <n v="0.99939999999999996"/>
    <m/>
    <n v="1"/>
    <n v="5.8999999999999999E-3"/>
    <n v="5.62E-2"/>
    <n v="0"/>
    <n v="0"/>
    <n v="40"/>
    <n v="1"/>
    <n v="789501600"/>
    <n v="43.935000000000002"/>
    <n v="259.48149999999998"/>
    <n v="1121.4217000000001"/>
  </r>
  <r>
    <x v="29"/>
    <s v="2026-03-08 13:00:00"/>
    <s v="1 hour"/>
    <s v="374"/>
    <s v="RNC_ZTE_Mvogada_new(374)"/>
    <s v="374"/>
    <s v="RNC_ZTE_Mvogada_new(374)"/>
    <s v="1057"/>
    <x v="5"/>
    <n v="100"/>
    <n v="1"/>
    <n v="65.319999999999993"/>
    <n v="4.5868000000000002"/>
    <n v="99.68"/>
    <n v="99.839999999999989"/>
    <n v="0.99839999999999995"/>
    <n v="0.99850000000000005"/>
    <n v="0.11"/>
    <n v="0.08"/>
    <n v="0"/>
    <n v="0"/>
    <n v="0"/>
    <n v="0"/>
    <n v="0.75149999999999995"/>
    <n v="0.45729999999999998"/>
    <n v="-11.5"/>
    <n v="-94.2"/>
    <n v="0.99980000000000002"/>
    <m/>
    <n v="0.875"/>
    <n v="6.4000000000000003E-3"/>
    <n v="5.0900000000000001E-2"/>
    <n v="0"/>
    <n v="0"/>
    <n v="55"/>
    <n v="1"/>
    <n v="789501600"/>
    <n v="54.556800000000003"/>
    <n v="227.34989999999999"/>
    <n v="1007.1322"/>
  </r>
  <r>
    <x v="29"/>
    <s v="2026-03-08 13:00:00"/>
    <s v="1 hour"/>
    <s v="374"/>
    <s v="RNC_ZTE_Mvogada_new(374)"/>
    <s v="374"/>
    <s v="RNC_ZTE_Mvogada_new(374)"/>
    <s v="10726"/>
    <x v="6"/>
    <n v="100"/>
    <n v="1"/>
    <n v="38.65"/>
    <n v="4.2591999999999999"/>
    <n v="99.77000000000001"/>
    <n v="99.89"/>
    <n v="0.99890000000000001"/>
    <n v="0.99890000000000001"/>
    <n v="0.04"/>
    <n v="6.9999999999999993E-2"/>
    <n v="0"/>
    <n v="0"/>
    <n v="0"/>
    <n v="0"/>
    <n v="0.55649999999999999"/>
    <n v="0.37109999999999999"/>
    <n v="-10.220000000000001"/>
    <n v="-99.89"/>
    <n v="0.99970000000000003"/>
    <m/>
    <n v="0.75"/>
    <n v="6.6E-3"/>
    <n v="6.8900000000000003E-2"/>
    <n v="0"/>
    <n v="0"/>
    <n v="34"/>
    <n v="1"/>
    <n v="789501600"/>
    <n v="40.833300000000001"/>
    <n v="245.1011"/>
    <n v="920.15800000000002"/>
  </r>
  <r>
    <x v="30"/>
    <s v="2026-03-08 14:00:00"/>
    <s v="1 hour"/>
    <s v="373"/>
    <s v="RNC_ZTE_Messamendongo(373)"/>
    <s v="373"/>
    <s v="RNC_ZTE_Messamendongo(373)"/>
    <s v="10468"/>
    <x v="0"/>
    <n v="100"/>
    <n v="1"/>
    <n v="31.37"/>
    <n v="4.1380999999999997"/>
    <n v="99.570000000000007"/>
    <n v="99.850000000000009"/>
    <n v="0.99850000000000005"/>
    <n v="0.99850000000000005"/>
    <n v="0.05"/>
    <n v="6.9999999999999993E-2"/>
    <n v="0"/>
    <n v="0"/>
    <n v="0"/>
    <n v="0"/>
    <n v="0.49930000000000002"/>
    <n v="0.18790000000000001"/>
    <n v="-10.8"/>
    <n v="-97.51"/>
    <n v="0.99970000000000003"/>
    <n v="100"/>
    <n v="1"/>
    <n v="4.5999999999999999E-3"/>
    <n v="5.2499999999999998E-2"/>
    <n v="0"/>
    <n v="0"/>
    <n v="34"/>
    <n v="0.99990000000000001"/>
    <n v="789501600"/>
    <n v="37.871699999999997"/>
    <n v="226.26400000000001"/>
    <n v="900.98149999999998"/>
  </r>
  <r>
    <x v="30"/>
    <s v="2026-03-08 14:00:00"/>
    <s v="1 hour"/>
    <s v="373"/>
    <s v="RNC_ZTE_Messamendongo(373)"/>
    <s v="373"/>
    <s v="RNC_ZTE_Messamendongo(373)"/>
    <s v="10599"/>
    <x v="1"/>
    <n v="100"/>
    <n v="1"/>
    <n v="22.47"/>
    <n v="3.9329000000000001"/>
    <n v="99.65"/>
    <n v="99.839999999999989"/>
    <n v="0.99839999999999995"/>
    <n v="0.99839999999999995"/>
    <n v="0.22"/>
    <n v="6.9999999999999993E-2"/>
    <n v="0"/>
    <n v="0"/>
    <n v="0"/>
    <n v="0"/>
    <n v="0.40939999999999999"/>
    <n v="0.12770000000000001"/>
    <n v="-9.41"/>
    <n v="-99.07"/>
    <n v="0.99939999999999996"/>
    <m/>
    <n v="1"/>
    <n v="5.7000000000000002E-3"/>
    <n v="4.9200000000000001E-2"/>
    <n v="0"/>
    <n v="0"/>
    <n v="53"/>
    <n v="1"/>
    <n v="789501600"/>
    <n v="26.785"/>
    <n v="135.13999999999999"/>
    <n v="958.19669999999996"/>
  </r>
  <r>
    <x v="30"/>
    <s v="2026-03-08 14:00:00"/>
    <s v="1 hour"/>
    <s v="373"/>
    <s v="RNC_ZTE_Messamendongo(373)"/>
    <s v="373"/>
    <s v="RNC_ZTE_Messamendongo(373)"/>
    <s v="10900"/>
    <x v="2"/>
    <n v="100"/>
    <n v="1"/>
    <n v="26.11"/>
    <n v="5.0076999999999998"/>
    <n v="99.69"/>
    <n v="99.81"/>
    <n v="0.99809999999999999"/>
    <n v="0.998"/>
    <n v="6.9999999999999993E-2"/>
    <n v="0.06"/>
    <n v="0"/>
    <n v="0"/>
    <n v="0"/>
    <n v="0"/>
    <n v="0.56030000000000002"/>
    <n v="0.19800000000000001"/>
    <n v="-9.64"/>
    <n v="-97.74"/>
    <n v="0.99950000000000006"/>
    <n v="71.430000000000007"/>
    <n v="0.89800000000000002"/>
    <n v="5.4999999999999997E-3"/>
    <n v="4.1799999999999997E-2"/>
    <n v="0"/>
    <n v="0"/>
    <n v="34"/>
    <n v="0.99960000000000004"/>
    <n v="789501600"/>
    <n v="36.466700000000003"/>
    <n v="287.4624"/>
    <n v="1083.4031"/>
  </r>
  <r>
    <x v="30"/>
    <s v="2026-03-08 14:00:00"/>
    <s v="1 hour"/>
    <s v="374"/>
    <s v="RNC_ZTE_Mvogada_new(374)"/>
    <s v="374"/>
    <s v="RNC_ZTE_Mvogada_new(374)"/>
    <s v="10269"/>
    <x v="3"/>
    <n v="100"/>
    <n v="1"/>
    <n v="66.48"/>
    <n v="5.4341999999999997"/>
    <n v="99.53"/>
    <n v="98.38"/>
    <n v="0.98370000000000002"/>
    <n v="0.9839"/>
    <n v="6.9999999999999993E-2"/>
    <n v="0.22999999999999998"/>
    <n v="0"/>
    <n v="0"/>
    <n v="0"/>
    <n v="0"/>
    <n v="0.72050000000000003"/>
    <n v="0.73939999999999995"/>
    <n v="-12.44"/>
    <n v="-93.75"/>
    <n v="0.99939999999999996"/>
    <n v="100"/>
    <n v="0.83330000000000004"/>
    <n v="7.1000000000000004E-3"/>
    <n v="6.8000000000000005E-2"/>
    <n v="0"/>
    <n v="0"/>
    <n v="144"/>
    <n v="1"/>
    <n v="789501600"/>
    <n v="85.818399999999997"/>
    <n v="373.47620000000001"/>
    <n v="1124.2554"/>
  </r>
  <r>
    <x v="30"/>
    <s v="2026-03-08 14:00:00"/>
    <s v="1 hour"/>
    <s v="374"/>
    <s v="RNC_ZTE_Mvogada_new(374)"/>
    <s v="374"/>
    <s v="RNC_ZTE_Mvogada_new(374)"/>
    <s v="10535"/>
    <x v="4"/>
    <n v="100"/>
    <n v="1"/>
    <n v="34.08"/>
    <n v="4.4345999999999997"/>
    <n v="99.62"/>
    <n v="99.87"/>
    <n v="0.99870000000000003"/>
    <n v="0.99880000000000002"/>
    <n v="0.04"/>
    <n v="0.08"/>
    <n v="0"/>
    <n v="0"/>
    <n v="0"/>
    <n v="0"/>
    <n v="0.65090000000000003"/>
    <n v="0.35599999999999998"/>
    <n v="-11.5"/>
    <n v="-95.89"/>
    <n v="0.99960000000000004"/>
    <m/>
    <n v="1"/>
    <n v="6.1999999999999998E-3"/>
    <n v="4.6399999999999997E-2"/>
    <n v="0"/>
    <n v="0"/>
    <n v="44"/>
    <n v="1"/>
    <n v="789501600"/>
    <n v="48.183300000000003"/>
    <n v="283.65030000000002"/>
    <n v="932.69880000000001"/>
  </r>
  <r>
    <x v="30"/>
    <s v="2026-03-08 14:00:00"/>
    <s v="1 hour"/>
    <s v="374"/>
    <s v="RNC_ZTE_Mvogada_new(374)"/>
    <s v="374"/>
    <s v="RNC_ZTE_Mvogada_new(374)"/>
    <s v="1057"/>
    <x v="5"/>
    <n v="100"/>
    <n v="1"/>
    <n v="64.489999999999995"/>
    <n v="5.2801"/>
    <n v="99.82"/>
    <n v="99.81"/>
    <n v="0.99819999999999998"/>
    <n v="0.99829999999999997"/>
    <n v="0.06"/>
    <n v="0.09"/>
    <n v="0"/>
    <n v="0"/>
    <n v="0"/>
    <n v="0"/>
    <n v="0.77939999999999998"/>
    <n v="0.48720000000000002"/>
    <n v="-11.7"/>
    <n v="-92.66"/>
    <n v="0.99980000000000002"/>
    <m/>
    <n v="0.75"/>
    <n v="7.1000000000000004E-3"/>
    <n v="4.8399999999999999E-2"/>
    <n v="0"/>
    <n v="0"/>
    <n v="64"/>
    <n v="1"/>
    <n v="789501600"/>
    <n v="60.673299999999998"/>
    <n v="314.01429999999999"/>
    <n v="1109.0449000000001"/>
  </r>
  <r>
    <x v="30"/>
    <s v="2026-03-08 14:00:00"/>
    <s v="1 hour"/>
    <s v="374"/>
    <s v="RNC_ZTE_Mvogada_new(374)"/>
    <s v="374"/>
    <s v="RNC_ZTE_Mvogada_new(374)"/>
    <s v="10726"/>
    <x v="6"/>
    <n v="21.01"/>
    <n v="0.21010000000000001"/>
    <n v="9.24"/>
    <n v="0.95909999999999995"/>
    <n v="100"/>
    <n v="99.61"/>
    <n v="0.99609999999999999"/>
    <n v="0.99609999999999999"/>
    <n v="0"/>
    <n v="0.1"/>
    <n v="0"/>
    <n v="0"/>
    <n v="0"/>
    <n v="0"/>
    <n v="0.62050000000000005"/>
    <n v="0.25629999999999997"/>
    <n v="-10.67"/>
    <n v="-99.08"/>
    <n v="0.999"/>
    <m/>
    <n v="1"/>
    <n v="6.6E-3"/>
    <n v="6.3700000000000007E-2"/>
    <n v="0"/>
    <n v="0"/>
    <n v="25"/>
    <n v="1"/>
    <n v="789518661"/>
    <n v="8.5566999999999993"/>
    <n v="51.918300000000002"/>
    <n v="210.58099999999999"/>
  </r>
  <r>
    <x v="31"/>
    <s v="2026-03-08 15:00:00"/>
    <s v="1 hour"/>
    <s v="373"/>
    <s v="RNC_ZTE_Messamendongo(373)"/>
    <s v="373"/>
    <s v="RNC_ZTE_Messamendongo(373)"/>
    <s v="10468"/>
    <x v="0"/>
    <n v="100"/>
    <n v="1"/>
    <n v="33.869999999999997"/>
    <n v="4.0044000000000004"/>
    <n v="99.74"/>
    <n v="99.8"/>
    <n v="0.998"/>
    <n v="0.998"/>
    <n v="0.05"/>
    <n v="6.9999999999999993E-2"/>
    <n v="0"/>
    <n v="0"/>
    <n v="0"/>
    <n v="0"/>
    <n v="0.48930000000000001"/>
    <n v="0.19350000000000001"/>
    <n v="-10.44"/>
    <n v="-97.32"/>
    <n v="0.99960000000000004"/>
    <n v="100"/>
    <n v="0.63639999999999997"/>
    <n v="4.4000000000000003E-3"/>
    <n v="4.48E-2"/>
    <n v="0"/>
    <n v="0"/>
    <n v="51"/>
    <n v="0.99990000000000001"/>
    <n v="789501600"/>
    <n v="38.68"/>
    <n v="221.1943"/>
    <n v="852.3614"/>
  </r>
  <r>
    <x v="31"/>
    <s v="2026-03-08 15:00:00"/>
    <s v="1 hour"/>
    <s v="373"/>
    <s v="RNC_ZTE_Messamendongo(373)"/>
    <s v="373"/>
    <s v="RNC_ZTE_Messamendongo(373)"/>
    <s v="10599"/>
    <x v="1"/>
    <n v="100"/>
    <n v="1"/>
    <n v="22.68"/>
    <n v="3.0124"/>
    <n v="99.69"/>
    <n v="99.9"/>
    <n v="0.999"/>
    <n v="0.999"/>
    <n v="0"/>
    <n v="0.05"/>
    <n v="0"/>
    <n v="0"/>
    <n v="0"/>
    <n v="0"/>
    <n v="0.3644"/>
    <n v="0.13009999999999999"/>
    <n v="-9.26"/>
    <n v="-98.68"/>
    <n v="0.99939999999999996"/>
    <m/>
    <n v="1"/>
    <n v="4.5999999999999999E-3"/>
    <n v="4.6100000000000002E-2"/>
    <n v="0"/>
    <n v="0"/>
    <n v="60"/>
    <n v="1"/>
    <n v="789501600"/>
    <n v="27.506699999999999"/>
    <n v="130.524"/>
    <n v="680.14120000000003"/>
  </r>
  <r>
    <x v="31"/>
    <s v="2026-03-08 15:00:00"/>
    <s v="1 hour"/>
    <s v="373"/>
    <s v="RNC_ZTE_Messamendongo(373)"/>
    <s v="373"/>
    <s v="RNC_ZTE_Messamendongo(373)"/>
    <s v="10900"/>
    <x v="2"/>
    <n v="100"/>
    <n v="1"/>
    <n v="26.56"/>
    <n v="3.8166000000000002"/>
    <n v="99.51"/>
    <n v="99.72999999999999"/>
    <n v="0.99729999999999996"/>
    <n v="0.99729999999999996"/>
    <n v="0.19"/>
    <n v="0.1"/>
    <n v="0"/>
    <n v="0"/>
    <n v="0"/>
    <n v="0"/>
    <n v="0.52600000000000002"/>
    <n v="0.2074"/>
    <n v="-9.4600000000000009"/>
    <n v="-97.99"/>
    <n v="0.99939999999999996"/>
    <n v="100"/>
    <n v="0.97919999999999996"/>
    <n v="5.1999999999999998E-3"/>
    <n v="4.2099999999999999E-2"/>
    <n v="0"/>
    <n v="0"/>
    <n v="44"/>
    <n v="0.99960000000000004"/>
    <n v="789501600"/>
    <n v="36.928400000000003"/>
    <n v="182.98159999999999"/>
    <n v="881.61080000000004"/>
  </r>
  <r>
    <x v="31"/>
    <s v="2026-03-08 15:00:00"/>
    <s v="1 hour"/>
    <s v="374"/>
    <s v="RNC_ZTE_Mvogada_new(374)"/>
    <s v="374"/>
    <s v="RNC_ZTE_Mvogada_new(374)"/>
    <s v="10269"/>
    <x v="3"/>
    <n v="100"/>
    <n v="1"/>
    <n v="73.47"/>
    <n v="5.0663999999999998"/>
    <n v="99.71"/>
    <n v="98.92"/>
    <n v="0.98919999999999997"/>
    <n v="0.98939999999999995"/>
    <n v="0.13"/>
    <n v="0.16"/>
    <n v="0"/>
    <n v="0"/>
    <n v="0"/>
    <n v="0"/>
    <n v="0.70379999999999998"/>
    <n v="0.68140000000000001"/>
    <n v="-12.33"/>
    <n v="-93.98"/>
    <n v="0.99970000000000003"/>
    <n v="100"/>
    <n v="1"/>
    <n v="7.0000000000000001E-3"/>
    <n v="7.6200000000000004E-2"/>
    <n v="0"/>
    <n v="0"/>
    <n v="121"/>
    <n v="1"/>
    <n v="789501600"/>
    <n v="81.848399999999998"/>
    <n v="332.33600000000001"/>
    <n v="1056.9409000000001"/>
  </r>
  <r>
    <x v="31"/>
    <s v="2026-03-08 15:00:00"/>
    <s v="1 hour"/>
    <s v="374"/>
    <s v="RNC_ZTE_Mvogada_new(374)"/>
    <s v="374"/>
    <s v="RNC_ZTE_Mvogada_new(374)"/>
    <s v="10535"/>
    <x v="4"/>
    <n v="100"/>
    <n v="1"/>
    <n v="37.51"/>
    <n v="4.0434999999999999"/>
    <n v="99.79"/>
    <n v="99.87"/>
    <n v="0.99860000000000004"/>
    <n v="0.99870000000000003"/>
    <n v="0.13"/>
    <n v="0.09"/>
    <n v="0"/>
    <n v="0"/>
    <n v="0"/>
    <n v="0"/>
    <n v="0.66369999999999996"/>
    <n v="0.28179999999999999"/>
    <n v="-11.39"/>
    <n v="-96.17"/>
    <n v="0.99960000000000004"/>
    <m/>
    <n v="1"/>
    <n v="5.4000000000000003E-3"/>
    <n v="4.5100000000000001E-2"/>
    <n v="0"/>
    <n v="0"/>
    <n v="37"/>
    <n v="1"/>
    <n v="789501600"/>
    <n v="40.715000000000003"/>
    <n v="237.9511"/>
    <n v="872.53"/>
  </r>
  <r>
    <x v="31"/>
    <s v="2026-03-08 15:00:00"/>
    <s v="1 hour"/>
    <s v="374"/>
    <s v="RNC_ZTE_Mvogada_new(374)"/>
    <s v="374"/>
    <s v="RNC_ZTE_Mvogada_new(374)"/>
    <s v="1057"/>
    <x v="5"/>
    <n v="100"/>
    <n v="1"/>
    <n v="65.05"/>
    <n v="5.4085999999999999"/>
    <n v="99.839999999999989"/>
    <n v="99.83"/>
    <n v="0.99829999999999997"/>
    <n v="0.99829999999999997"/>
    <n v="0.06"/>
    <n v="0.09"/>
    <n v="0"/>
    <n v="0"/>
    <n v="0"/>
    <n v="0"/>
    <n v="0.77229999999999999"/>
    <n v="0.50480000000000003"/>
    <n v="-11.6"/>
    <n v="-92.91"/>
    <n v="0.99950000000000006"/>
    <m/>
    <n v="0.8095"/>
    <n v="6.7000000000000002E-3"/>
    <n v="4.5900000000000003E-2"/>
    <n v="0"/>
    <n v="0"/>
    <n v="70"/>
    <n v="1"/>
    <n v="789501600"/>
    <n v="63.235100000000003"/>
    <n v="338.35579999999999"/>
    <n v="1127.6431"/>
  </r>
  <r>
    <x v="31"/>
    <s v="2026-03-08 15:00:00"/>
    <s v="1 hour"/>
    <s v="374"/>
    <s v="RNC_ZTE_Mvogada_new(374)"/>
    <s v="374"/>
    <s v="RNC_ZTE_Mvogada_new(374)"/>
    <s v="10726"/>
    <x v="6"/>
    <n v="66.19"/>
    <n v="0.66190000000000004"/>
    <n v="26.56"/>
    <n v="3.1038999999999999"/>
    <n v="99.3"/>
    <n v="99.68"/>
    <n v="0.99680000000000002"/>
    <n v="0.99680000000000002"/>
    <n v="1.1900000000000002"/>
    <n v="0.18"/>
    <n v="1"/>
    <n v="0"/>
    <n v="0"/>
    <n v="0"/>
    <n v="0.56030000000000002"/>
    <n v="0.29330000000000001"/>
    <n v="-10.16"/>
    <n v="-99.28"/>
    <n v="0.99739999999999995"/>
    <m/>
    <n v="0.83330000000000004"/>
    <n v="6.0000000000000001E-3"/>
    <n v="6.7799999999999999E-2"/>
    <n v="0"/>
    <n v="0"/>
    <n v="60"/>
    <n v="0.99990000000000001"/>
    <n v="789508903"/>
    <n v="27"/>
    <n v="155.65620000000001"/>
    <n v="701.60559999999998"/>
  </r>
  <r>
    <x v="32"/>
    <s v="2026-03-08 16:00:00"/>
    <s v="1 hour"/>
    <s v="373"/>
    <s v="RNC_ZTE_Messamendongo(373)"/>
    <s v="373"/>
    <s v="RNC_ZTE_Messamendongo(373)"/>
    <s v="10468"/>
    <x v="0"/>
    <n v="100"/>
    <n v="1"/>
    <n v="32.479999999999997"/>
    <n v="4.3879999999999999"/>
    <n v="99.7"/>
    <n v="99.8"/>
    <n v="0.998"/>
    <n v="0.99790000000000001"/>
    <n v="0.09"/>
    <n v="0.11"/>
    <n v="0"/>
    <n v="0"/>
    <n v="0"/>
    <n v="0"/>
    <n v="0.50509999999999999"/>
    <n v="0.18609999999999999"/>
    <n v="-10.76"/>
    <n v="-96.87"/>
    <n v="0.99939999999999996"/>
    <n v="100"/>
    <n v="1"/>
    <n v="4.5999999999999999E-3"/>
    <n v="4.8500000000000001E-2"/>
    <n v="0"/>
    <n v="0"/>
    <n v="43"/>
    <n v="0.99990000000000001"/>
    <n v="789501600"/>
    <n v="40.8367"/>
    <n v="255.64340000000001"/>
    <n v="949.04909999999995"/>
  </r>
  <r>
    <x v="32"/>
    <s v="2026-03-08 16:00:00"/>
    <s v="1 hour"/>
    <s v="373"/>
    <s v="RNC_ZTE_Messamendongo(373)"/>
    <s v="373"/>
    <s v="RNC_ZTE_Messamendongo(373)"/>
    <s v="10599"/>
    <x v="1"/>
    <n v="100"/>
    <n v="1"/>
    <n v="27.12"/>
    <n v="3.0640000000000001"/>
    <n v="99.88"/>
    <n v="99.850000000000009"/>
    <n v="0.99850000000000005"/>
    <n v="0.99850000000000005"/>
    <n v="0.13"/>
    <n v="0.08"/>
    <n v="0"/>
    <n v="0"/>
    <n v="0"/>
    <n v="0"/>
    <n v="0.36359999999999998"/>
    <n v="0.1226"/>
    <n v="-9.1300000000000008"/>
    <n v="-98.58"/>
    <n v="0.99970000000000003"/>
    <m/>
    <n v="1"/>
    <n v="4.4999999999999997E-3"/>
    <n v="4.24E-2"/>
    <n v="0"/>
    <n v="0"/>
    <n v="47"/>
    <n v="1"/>
    <n v="789501600"/>
    <n v="26.021699999999999"/>
    <n v="125.04689999999999"/>
    <n v="713.58479999999997"/>
  </r>
  <r>
    <x v="32"/>
    <s v="2026-03-08 16:00:00"/>
    <s v="1 hour"/>
    <s v="373"/>
    <s v="RNC_ZTE_Messamendongo(373)"/>
    <s v="373"/>
    <s v="RNC_ZTE_Messamendongo(373)"/>
    <s v="10900"/>
    <x v="2"/>
    <n v="100"/>
    <n v="1"/>
    <n v="26.8"/>
    <n v="4.8083999999999998"/>
    <n v="99.660000000000011"/>
    <n v="99.74"/>
    <n v="0.99739999999999995"/>
    <n v="0.99750000000000005"/>
    <n v="0.13"/>
    <n v="0.05"/>
    <n v="0"/>
    <n v="0"/>
    <n v="0"/>
    <n v="0"/>
    <n v="0.56420000000000003"/>
    <n v="0.214"/>
    <n v="-9.73"/>
    <n v="-97.71"/>
    <n v="0.99960000000000004"/>
    <n v="87.5"/>
    <n v="0.94230000000000003"/>
    <n v="4.8999999999999998E-3"/>
    <n v="3.7999999999999999E-2"/>
    <n v="0"/>
    <n v="0"/>
    <n v="29"/>
    <n v="0.99960000000000004"/>
    <n v="789501600"/>
    <n v="39.493400000000001"/>
    <n v="267.40769999999998"/>
    <n v="1067.5735"/>
  </r>
  <r>
    <x v="32"/>
    <s v="2026-03-08 16:00:00"/>
    <s v="1 hour"/>
    <s v="374"/>
    <s v="RNC_ZTE_Mvogada_new(374)"/>
    <s v="374"/>
    <s v="RNC_ZTE_Mvogada_new(374)"/>
    <s v="10269"/>
    <x v="3"/>
    <n v="100"/>
    <n v="1"/>
    <n v="67.53"/>
    <n v="5.3010999999999999"/>
    <n v="99.7"/>
    <n v="99.72"/>
    <n v="0.99719999999999998"/>
    <n v="0.99709999999999999"/>
    <n v="0.04"/>
    <n v="0.12"/>
    <n v="0"/>
    <n v="0"/>
    <n v="0"/>
    <n v="0"/>
    <n v="0.7046"/>
    <n v="0.58560000000000001"/>
    <n v="-12.29"/>
    <n v="-94.06"/>
    <n v="0.99960000000000004"/>
    <n v="50"/>
    <n v="1"/>
    <n v="6.3E-3"/>
    <n v="7.0499999999999993E-2"/>
    <n v="0"/>
    <n v="0"/>
    <n v="97"/>
    <n v="1"/>
    <n v="789501600"/>
    <n v="80.933300000000003"/>
    <n v="365.51990000000001"/>
    <n v="1095.7793999999999"/>
  </r>
  <r>
    <x v="32"/>
    <s v="2026-03-08 16:00:00"/>
    <s v="1 hour"/>
    <s v="374"/>
    <s v="RNC_ZTE_Mvogada_new(374)"/>
    <s v="374"/>
    <s v="RNC_ZTE_Mvogada_new(374)"/>
    <s v="10535"/>
    <x v="4"/>
    <n v="100"/>
    <n v="1"/>
    <n v="38.92"/>
    <n v="4.5179"/>
    <n v="99.71"/>
    <n v="99.89"/>
    <n v="0.99890000000000001"/>
    <n v="0.999"/>
    <n v="0.12"/>
    <n v="6.9999999999999993E-2"/>
    <n v="0"/>
    <n v="0"/>
    <n v="0"/>
    <n v="0"/>
    <n v="0.68420000000000003"/>
    <n v="0.31709999999999999"/>
    <n v="-11.31"/>
    <n v="-95.58"/>
    <n v="0.99980000000000002"/>
    <m/>
    <n v="1"/>
    <n v="5.5999999999999999E-3"/>
    <n v="4.6300000000000001E-2"/>
    <n v="0"/>
    <n v="0"/>
    <n v="38"/>
    <n v="1"/>
    <n v="789501600"/>
    <n v="46.436700000000002"/>
    <n v="296.28190000000001"/>
    <n v="952.4221"/>
  </r>
  <r>
    <x v="32"/>
    <s v="2026-03-08 16:00:00"/>
    <s v="1 hour"/>
    <s v="374"/>
    <s v="RNC_ZTE_Mvogada_new(374)"/>
    <s v="374"/>
    <s v="RNC_ZTE_Mvogada_new(374)"/>
    <s v="1057"/>
    <x v="5"/>
    <n v="100"/>
    <n v="1"/>
    <n v="67.89"/>
    <n v="6.0128000000000004"/>
    <n v="99.71"/>
    <n v="99.88"/>
    <n v="0.99880000000000002"/>
    <n v="0.99890000000000001"/>
    <n v="0.06"/>
    <n v="0.08"/>
    <n v="0"/>
    <n v="0"/>
    <n v="0"/>
    <n v="1"/>
    <n v="0.78300000000000003"/>
    <n v="0.50560000000000005"/>
    <n v="-11.61"/>
    <n v="-91.82"/>
    <n v="0.99950000000000006"/>
    <m/>
    <n v="0.82140000000000002"/>
    <n v="7.1999999999999998E-3"/>
    <n v="0.04"/>
    <n v="0"/>
    <n v="0"/>
    <n v="51"/>
    <n v="1"/>
    <n v="789501600"/>
    <n v="63.948399999999999"/>
    <n v="452.63420000000002"/>
    <n v="1186.3434999999999"/>
  </r>
  <r>
    <x v="32"/>
    <s v="2026-03-08 16:00:00"/>
    <s v="1 hour"/>
    <s v="374"/>
    <s v="RNC_ZTE_Mvogada_new(374)"/>
    <s v="374"/>
    <s v="RNC_ZTE_Mvogada_new(374)"/>
    <s v="10726"/>
    <x v="6"/>
    <n v="100"/>
    <n v="1"/>
    <n v="37.200000000000003"/>
    <n v="5.1924000000000001"/>
    <n v="99.72999999999999"/>
    <n v="99.839999999999989"/>
    <n v="0.99839999999999995"/>
    <n v="0.99850000000000005"/>
    <n v="0.04"/>
    <n v="0.09"/>
    <n v="0"/>
    <n v="0"/>
    <n v="0"/>
    <n v="0"/>
    <n v="0.59770000000000001"/>
    <n v="0.36520000000000002"/>
    <n v="-10.4"/>
    <n v="-99.41"/>
    <n v="0.99960000000000004"/>
    <m/>
    <n v="0.75"/>
    <n v="6.0000000000000001E-3"/>
    <n v="6.4100000000000004E-2"/>
    <n v="0"/>
    <n v="0"/>
    <n v="35"/>
    <n v="0.99990000000000001"/>
    <n v="789501600"/>
    <n v="40.975000000000001"/>
    <n v="240.94210000000001"/>
    <n v="1168.6237000000001"/>
  </r>
  <r>
    <x v="33"/>
    <s v="2026-03-08 17:00:00"/>
    <s v="1 hour"/>
    <s v="373"/>
    <s v="RNC_ZTE_Messamendongo(373)"/>
    <s v="373"/>
    <s v="RNC_ZTE_Messamendongo(373)"/>
    <s v="10468"/>
    <x v="0"/>
    <n v="100"/>
    <n v="1"/>
    <n v="36.340000000000003"/>
    <n v="4.3630000000000004"/>
    <n v="99.62"/>
    <n v="99.79"/>
    <n v="0.99790000000000001"/>
    <n v="0.99819999999999998"/>
    <n v="0.04"/>
    <n v="0.11"/>
    <n v="0"/>
    <n v="0"/>
    <n v="0"/>
    <n v="0"/>
    <n v="0.50270000000000004"/>
    <n v="0.21099999999999999"/>
    <n v="-10.94"/>
    <n v="-96.63"/>
    <n v="0.99970000000000003"/>
    <n v="100"/>
    <n v="1"/>
    <n v="5.1000000000000004E-3"/>
    <n v="5.04E-2"/>
    <n v="0"/>
    <n v="0"/>
    <n v="64"/>
    <n v="1"/>
    <n v="789501600"/>
    <n v="44.426699999999997"/>
    <n v="213.89160000000001"/>
    <n v="987.37739999999997"/>
  </r>
  <r>
    <x v="33"/>
    <s v="2026-03-08 17:00:00"/>
    <s v="1 hour"/>
    <s v="373"/>
    <s v="RNC_ZTE_Messamendongo(373)"/>
    <s v="373"/>
    <s v="RNC_ZTE_Messamendongo(373)"/>
    <s v="10599"/>
    <x v="1"/>
    <n v="99.75"/>
    <n v="0.99750000000000005"/>
    <n v="28.36"/>
    <n v="2.8584000000000001"/>
    <n v="99.21"/>
    <n v="99.62"/>
    <n v="0.99619999999999997"/>
    <n v="0.99619999999999997"/>
    <n v="0.25"/>
    <n v="0.18"/>
    <n v="2"/>
    <n v="0"/>
    <n v="0"/>
    <n v="0"/>
    <n v="0.35549999999999998"/>
    <n v="0.14280000000000001"/>
    <n v="-9.26"/>
    <n v="-97.85"/>
    <n v="0.99929999999999997"/>
    <m/>
    <n v="1"/>
    <n v="5.3E-3"/>
    <n v="4.24E-2"/>
    <n v="0"/>
    <n v="0"/>
    <n v="105"/>
    <n v="1"/>
    <n v="789501654"/>
    <n v="28.745000000000001"/>
    <n v="149.76339999999999"/>
    <n v="640.85159999999996"/>
  </r>
  <r>
    <x v="33"/>
    <s v="2026-03-08 17:00:00"/>
    <s v="1 hour"/>
    <s v="373"/>
    <s v="RNC_ZTE_Messamendongo(373)"/>
    <s v="373"/>
    <s v="RNC_ZTE_Messamendongo(373)"/>
    <s v="10900"/>
    <x v="2"/>
    <n v="100"/>
    <n v="1"/>
    <n v="25.82"/>
    <n v="4.4884000000000004"/>
    <n v="99.6"/>
    <n v="99.88"/>
    <n v="0.99880000000000002"/>
    <n v="0.99890000000000001"/>
    <n v="0.13"/>
    <n v="0.08"/>
    <n v="0"/>
    <n v="0"/>
    <n v="0"/>
    <n v="0"/>
    <n v="0.59950000000000003"/>
    <n v="0.20069999999999999"/>
    <n v="-9.91"/>
    <n v="-97.77"/>
    <n v="0.99939999999999996"/>
    <n v="90.48"/>
    <n v="0.87880000000000003"/>
    <n v="4.7999999999999996E-3"/>
    <n v="3.8899999999999997E-2"/>
    <n v="0"/>
    <n v="0"/>
    <n v="37"/>
    <n v="0.99990000000000001"/>
    <n v="789501600"/>
    <n v="39.134999999999998"/>
    <n v="200.01300000000001"/>
    <n v="1048.3594000000001"/>
  </r>
  <r>
    <x v="33"/>
    <s v="2026-03-08 17:00:00"/>
    <s v="1 hour"/>
    <s v="374"/>
    <s v="RNC_ZTE_Mvogada_new(374)"/>
    <s v="374"/>
    <s v="RNC_ZTE_Mvogada_new(374)"/>
    <s v="10269"/>
    <x v="3"/>
    <n v="100"/>
    <n v="1"/>
    <n v="69.88"/>
    <n v="5.1127000000000002"/>
    <n v="99.56"/>
    <n v="99.16"/>
    <n v="0.99170000000000003"/>
    <n v="0.99180000000000001"/>
    <n v="0.06"/>
    <n v="0.18"/>
    <n v="0"/>
    <n v="0"/>
    <n v="0"/>
    <n v="0"/>
    <n v="0.71879999999999999"/>
    <n v="0.67910000000000004"/>
    <n v="-12.3"/>
    <n v="-94.17"/>
    <n v="0.99960000000000004"/>
    <n v="83.33"/>
    <n v="1"/>
    <n v="7.3000000000000001E-3"/>
    <n v="7.5200000000000003E-2"/>
    <n v="0"/>
    <n v="0"/>
    <n v="117"/>
    <n v="0.99990000000000001"/>
    <n v="789501600"/>
    <n v="81.061700000000002"/>
    <n v="344.60180000000003"/>
    <n v="1051.1555000000001"/>
  </r>
  <r>
    <x v="33"/>
    <s v="2026-03-08 17:00:00"/>
    <s v="1 hour"/>
    <s v="374"/>
    <s v="RNC_ZTE_Mvogada_new(374)"/>
    <s v="374"/>
    <s v="RNC_ZTE_Mvogada_new(374)"/>
    <s v="10535"/>
    <x v="4"/>
    <n v="100"/>
    <n v="1"/>
    <n v="37.18"/>
    <n v="5.0843999999999996"/>
    <n v="99.550000000000011"/>
    <n v="99.839999999999989"/>
    <n v="0.99839999999999995"/>
    <n v="0.99839999999999995"/>
    <n v="0.09"/>
    <n v="6.9999999999999993E-2"/>
    <n v="0"/>
    <n v="0"/>
    <n v="0"/>
    <n v="0"/>
    <n v="0.72799999999999998"/>
    <n v="0.28070000000000001"/>
    <n v="-11.73"/>
    <n v="-95.59"/>
    <n v="0.99939999999999996"/>
    <m/>
    <n v="1"/>
    <n v="6.4999999999999997E-3"/>
    <n v="4.8800000000000003E-2"/>
    <n v="0"/>
    <n v="0"/>
    <n v="49"/>
    <n v="1"/>
    <n v="789501600"/>
    <n v="44.924900000000001"/>
    <n v="321.43709999999999"/>
    <n v="1085.3134"/>
  </r>
  <r>
    <x v="33"/>
    <s v="2026-03-08 17:00:00"/>
    <s v="1 hour"/>
    <s v="374"/>
    <s v="RNC_ZTE_Mvogada_new(374)"/>
    <s v="374"/>
    <s v="RNC_ZTE_Mvogada_new(374)"/>
    <s v="1057"/>
    <x v="5"/>
    <n v="100"/>
    <n v="1"/>
    <n v="70.61"/>
    <n v="5.5256999999999996"/>
    <n v="99.75"/>
    <n v="99.79"/>
    <n v="0.99790000000000001"/>
    <n v="0.99809999999999999"/>
    <n v="0.06"/>
    <n v="0.11"/>
    <n v="0"/>
    <n v="0"/>
    <n v="0"/>
    <n v="1"/>
    <n v="0.78420000000000001"/>
    <n v="0.47289999999999999"/>
    <n v="-11.52"/>
    <n v="-92.56"/>
    <n v="0.99939999999999996"/>
    <n v="100"/>
    <n v="0.88"/>
    <n v="6.7999999999999996E-3"/>
    <n v="4.48E-2"/>
    <n v="0"/>
    <n v="0"/>
    <n v="64"/>
    <n v="1"/>
    <n v="789501600"/>
    <n v="56.318300000000001"/>
    <n v="295.80430000000001"/>
    <n v="1195.2914000000001"/>
  </r>
  <r>
    <x v="33"/>
    <s v="2026-03-08 17:00:00"/>
    <s v="1 hour"/>
    <s v="374"/>
    <s v="RNC_ZTE_Mvogada_new(374)"/>
    <s v="374"/>
    <s v="RNC_ZTE_Mvogada_new(374)"/>
    <s v="10726"/>
    <x v="6"/>
    <n v="93.92"/>
    <n v="0.93920000000000003"/>
    <n v="35.22"/>
    <n v="5.4611000000000001"/>
    <n v="99.39"/>
    <n v="99.839999999999989"/>
    <n v="0.99839999999999995"/>
    <n v="0.99829999999999997"/>
    <n v="0.09"/>
    <n v="0.06"/>
    <n v="1"/>
    <n v="0"/>
    <n v="0"/>
    <n v="0"/>
    <n v="0.63290000000000002"/>
    <n v="0.3745"/>
    <n v="-10.82"/>
    <n v="-98.93"/>
    <n v="0.99970000000000003"/>
    <m/>
    <n v="0.5"/>
    <n v="5.8999999999999999E-3"/>
    <n v="5.8000000000000003E-2"/>
    <n v="0"/>
    <n v="0"/>
    <n v="50"/>
    <n v="0.99990000000000001"/>
    <n v="789502914"/>
    <n v="43.883299999999998"/>
    <n v="281.07159999999999"/>
    <n v="1214.3387"/>
  </r>
  <r>
    <x v="34"/>
    <s v="2026-03-08 18:00:00"/>
    <s v="1 hour"/>
    <s v="373"/>
    <s v="RNC_ZTE_Messamendongo(373)"/>
    <s v="373"/>
    <s v="RNC_ZTE_Messamendongo(373)"/>
    <s v="10468"/>
    <x v="0"/>
    <n v="100"/>
    <n v="1"/>
    <n v="33.299999999999997"/>
    <n v="3.9882"/>
    <n v="99.56"/>
    <n v="99.86"/>
    <n v="0.99860000000000004"/>
    <n v="0.99860000000000004"/>
    <n v="0.18"/>
    <n v="6.9999999999999993E-2"/>
    <n v="0"/>
    <n v="0"/>
    <n v="0"/>
    <n v="0"/>
    <n v="0.48659999999999998"/>
    <n v="0.18509999999999999"/>
    <n v="-10.67"/>
    <n v="-97.11"/>
    <n v="0.99970000000000003"/>
    <n v="71.430000000000007"/>
    <n v="1"/>
    <n v="5.0000000000000001E-3"/>
    <n v="4.7600000000000003E-2"/>
    <n v="0"/>
    <n v="0"/>
    <n v="41"/>
    <n v="0.99990000000000001"/>
    <n v="789501600"/>
    <n v="41.670099999999998"/>
    <n v="223.16229999999999"/>
    <n v="873.19460000000004"/>
  </r>
  <r>
    <x v="34"/>
    <s v="2026-03-08 18:00:00"/>
    <s v="1 hour"/>
    <s v="373"/>
    <s v="RNC_ZTE_Messamendongo(373)"/>
    <s v="373"/>
    <s v="RNC_ZTE_Messamendongo(373)"/>
    <s v="10599"/>
    <x v="1"/>
    <n v="100"/>
    <n v="1"/>
    <n v="24.58"/>
    <n v="3.2561"/>
    <n v="99.61"/>
    <n v="99.78"/>
    <n v="0.99780000000000002"/>
    <n v="0.99770000000000003"/>
    <n v="0.2"/>
    <n v="0.08"/>
    <n v="0"/>
    <n v="0"/>
    <n v="0"/>
    <n v="0"/>
    <n v="0.37969999999999998"/>
    <n v="0.14130000000000001"/>
    <n v="-9.3800000000000008"/>
    <n v="-98.11"/>
    <n v="0.99939999999999996"/>
    <m/>
    <n v="0.5"/>
    <n v="4.5999999999999999E-3"/>
    <n v="4.4900000000000002E-2"/>
    <n v="0"/>
    <n v="0"/>
    <n v="48"/>
    <n v="1"/>
    <n v="789501600"/>
    <n v="29.725100000000001"/>
    <n v="150.48310000000001"/>
    <n v="740.61069999999995"/>
  </r>
  <r>
    <x v="34"/>
    <s v="2026-03-08 18:00:00"/>
    <s v="1 hour"/>
    <s v="373"/>
    <s v="RNC_ZTE_Messamendongo(373)"/>
    <s v="373"/>
    <s v="RNC_ZTE_Messamendongo(373)"/>
    <s v="10900"/>
    <x v="2"/>
    <n v="100"/>
    <n v="1"/>
    <n v="26.29"/>
    <n v="4.7081999999999997"/>
    <n v="99.68"/>
    <n v="99.74"/>
    <n v="0.99739999999999995"/>
    <n v="0.99739999999999995"/>
    <n v="0.13"/>
    <n v="6.9999999999999993E-2"/>
    <n v="0"/>
    <n v="0"/>
    <n v="0"/>
    <n v="0"/>
    <n v="0.56920000000000004"/>
    <n v="0.17879999999999999"/>
    <n v="-9.84"/>
    <n v="-97.82"/>
    <n v="0.99960000000000004"/>
    <n v="70"/>
    <n v="0.94340000000000002"/>
    <n v="4.3E-3"/>
    <n v="3.3399999999999999E-2"/>
    <n v="0"/>
    <n v="0"/>
    <n v="28"/>
    <n v="0.99960000000000004"/>
    <n v="789501600"/>
    <n v="38.073399999999999"/>
    <n v="248.226"/>
    <n v="1016.0427"/>
  </r>
  <r>
    <x v="34"/>
    <s v="2026-03-08 18:00:00"/>
    <s v="1 hour"/>
    <s v="374"/>
    <s v="RNC_ZTE_Mvogada_new(374)"/>
    <s v="374"/>
    <s v="RNC_ZTE_Mvogada_new(374)"/>
    <s v="10269"/>
    <x v="3"/>
    <n v="100"/>
    <n v="1"/>
    <n v="70.2"/>
    <n v="5.8814000000000002"/>
    <n v="99.64"/>
    <n v="98.4"/>
    <n v="0.98399999999999999"/>
    <n v="0.98440000000000005"/>
    <n v="0.18"/>
    <n v="0.54999999999999993"/>
    <n v="0"/>
    <n v="0"/>
    <n v="0"/>
    <n v="0"/>
    <n v="0.75290000000000001"/>
    <n v="0.88690000000000002"/>
    <n v="-12.61"/>
    <n v="-93.41"/>
    <n v="0.99919999999999998"/>
    <n v="100"/>
    <n v="1"/>
    <n v="6.4000000000000003E-3"/>
    <n v="5.5599999999999997E-2"/>
    <n v="0"/>
    <n v="0"/>
    <n v="148"/>
    <n v="0.99990000000000001"/>
    <n v="789501600"/>
    <n v="92.138400000000004"/>
    <n v="415.95530000000002"/>
    <n v="1227.1451999999999"/>
  </r>
  <r>
    <x v="34"/>
    <s v="2026-03-08 18:00:00"/>
    <s v="1 hour"/>
    <s v="374"/>
    <s v="RNC_ZTE_Mvogada_new(374)"/>
    <s v="374"/>
    <s v="RNC_ZTE_Mvogada_new(374)"/>
    <s v="10535"/>
    <x v="4"/>
    <n v="100"/>
    <n v="1"/>
    <n v="36.17"/>
    <n v="4.8745000000000003"/>
    <n v="99.64"/>
    <n v="99.87"/>
    <n v="0.99870000000000003"/>
    <n v="0.99860000000000004"/>
    <n v="0.08"/>
    <n v="0.08"/>
    <n v="0"/>
    <n v="0"/>
    <n v="0"/>
    <n v="0"/>
    <n v="0.72160000000000002"/>
    <n v="0.26729999999999998"/>
    <n v="-11.74"/>
    <n v="-95.73"/>
    <n v="0.99939999999999996"/>
    <m/>
    <n v="1"/>
    <n v="5.8999999999999999E-3"/>
    <n v="4.3799999999999999E-2"/>
    <n v="0"/>
    <n v="0"/>
    <n v="51"/>
    <n v="1"/>
    <n v="789501600"/>
    <n v="41.368400000000001"/>
    <n v="247.1302"/>
    <n v="1072.5222000000001"/>
  </r>
  <r>
    <x v="34"/>
    <s v="2026-03-08 18:00:00"/>
    <s v="1 hour"/>
    <s v="374"/>
    <s v="RNC_ZTE_Mvogada_new(374)"/>
    <s v="374"/>
    <s v="RNC_ZTE_Mvogada_new(374)"/>
    <s v="1057"/>
    <x v="5"/>
    <n v="100"/>
    <n v="1"/>
    <n v="64.62"/>
    <n v="5.8566000000000003"/>
    <n v="99.82"/>
    <n v="99.83"/>
    <n v="0.99829999999999997"/>
    <n v="0.99839999999999995"/>
    <n v="0.06"/>
    <n v="0.09"/>
    <n v="0"/>
    <n v="0"/>
    <n v="0"/>
    <n v="0"/>
    <n v="0.81120000000000003"/>
    <n v="0.4486"/>
    <n v="-11.69"/>
    <n v="-93.41"/>
    <n v="0.99929999999999997"/>
    <m/>
    <n v="0.89470000000000005"/>
    <n v="6.1000000000000004E-3"/>
    <n v="4.1700000000000001E-2"/>
    <n v="0"/>
    <n v="0"/>
    <n v="63"/>
    <n v="1"/>
    <n v="789501600"/>
    <n v="56.645099999999999"/>
    <n v="294.82150000000001"/>
    <n v="1295.0150000000001"/>
  </r>
  <r>
    <x v="34"/>
    <s v="2026-03-08 18:00:00"/>
    <s v="1 hour"/>
    <s v="374"/>
    <s v="RNC_ZTE_Mvogada_new(374)"/>
    <s v="374"/>
    <s v="RNC_ZTE_Mvogada_new(374)"/>
    <s v="10726"/>
    <x v="6"/>
    <n v="22.34"/>
    <n v="0.22339999999999999"/>
    <n v="11.29"/>
    <n v="1.3270999999999999"/>
    <n v="98.21"/>
    <n v="98.06"/>
    <n v="0.98070000000000002"/>
    <n v="0.98070000000000002"/>
    <n v="8.67"/>
    <n v="1.4500000000000002"/>
    <n v="2"/>
    <n v="0"/>
    <n v="0"/>
    <n v="0"/>
    <n v="0.65739999999999998"/>
    <n v="0.1444"/>
    <n v="-10.73"/>
    <n v="-98.06"/>
    <n v="0.98670000000000002"/>
    <m/>
    <n v="1"/>
    <n v="6.8999999999999999E-3"/>
    <n v="4.6600000000000003E-2"/>
    <n v="0"/>
    <n v="0"/>
    <n v="123"/>
    <n v="0.99990000000000001"/>
    <n v="789518374"/>
    <n v="8.5234000000000005"/>
    <n v="76.947400000000002"/>
    <n v="287.15309999999999"/>
  </r>
  <r>
    <x v="35"/>
    <s v="2026-03-08 19:00:00"/>
    <s v="1 hour"/>
    <s v="373"/>
    <s v="RNC_ZTE_Messamendongo(373)"/>
    <s v="373"/>
    <s v="RNC_ZTE_Messamendongo(373)"/>
    <s v="10468"/>
    <x v="0"/>
    <n v="100"/>
    <n v="1"/>
    <n v="32.9"/>
    <n v="3.9165999999999999"/>
    <n v="99.570000000000007"/>
    <n v="99.839999999999989"/>
    <n v="0.99839999999999995"/>
    <n v="0.99839999999999995"/>
    <n v="0.04"/>
    <n v="0.09"/>
    <n v="0"/>
    <n v="0"/>
    <n v="0"/>
    <n v="0"/>
    <n v="0.45450000000000002"/>
    <n v="0.1968"/>
    <n v="-10.47"/>
    <n v="-96.65"/>
    <n v="0.99970000000000003"/>
    <n v="100"/>
    <n v="1"/>
    <n v="4.7000000000000002E-3"/>
    <n v="5.2999999999999999E-2"/>
    <n v="0"/>
    <n v="0"/>
    <n v="57"/>
    <n v="1"/>
    <n v="789501600"/>
    <n v="43.204999999999998"/>
    <n v="240.6711"/>
    <n v="837.12199999999996"/>
  </r>
  <r>
    <x v="35"/>
    <s v="2026-03-08 19:00:00"/>
    <s v="1 hour"/>
    <s v="373"/>
    <s v="RNC_ZTE_Messamendongo(373)"/>
    <s v="373"/>
    <s v="RNC_ZTE_Messamendongo(373)"/>
    <s v="10599"/>
    <x v="1"/>
    <n v="100"/>
    <n v="1"/>
    <n v="27.51"/>
    <n v="3.5268000000000002"/>
    <n v="99.83"/>
    <n v="99.81"/>
    <n v="0.99809999999999999"/>
    <n v="0.99809999999999999"/>
    <n v="0.06"/>
    <n v="6.9999999999999993E-2"/>
    <n v="0"/>
    <n v="0"/>
    <n v="0"/>
    <n v="0"/>
    <n v="0.39889999999999998"/>
    <n v="0.15529999999999999"/>
    <n v="-9.56"/>
    <n v="-98"/>
    <n v="1"/>
    <m/>
    <n v="0.8"/>
    <n v="6.6E-3"/>
    <n v="5.9299999999999999E-2"/>
    <n v="0"/>
    <n v="0"/>
    <n v="66"/>
    <n v="1"/>
    <n v="789501600"/>
    <n v="34.123399999999997"/>
    <n v="198.52610000000001"/>
    <n v="772.99400000000003"/>
  </r>
  <r>
    <x v="35"/>
    <s v="2026-03-08 19:00:00"/>
    <s v="1 hour"/>
    <s v="373"/>
    <s v="RNC_ZTE_Messamendongo(373)"/>
    <s v="373"/>
    <s v="RNC_ZTE_Messamendongo(373)"/>
    <s v="10900"/>
    <x v="2"/>
    <n v="100"/>
    <n v="1"/>
    <n v="29.8"/>
    <n v="4.9062999999999999"/>
    <n v="99.570000000000007"/>
    <n v="99.8"/>
    <n v="0.998"/>
    <n v="0.99809999999999999"/>
    <n v="0.06"/>
    <n v="0.12"/>
    <n v="0"/>
    <n v="0"/>
    <n v="0"/>
    <n v="0"/>
    <n v="0.59870000000000001"/>
    <n v="0.21179999999999999"/>
    <n v="-10.039999999999999"/>
    <n v="-96.96"/>
    <n v="0.99950000000000006"/>
    <n v="80"/>
    <n v="0.95920000000000005"/>
    <n v="4.5999999999999999E-3"/>
    <n v="3.85E-2"/>
    <n v="0"/>
    <n v="0"/>
    <n v="43"/>
    <n v="0.99970000000000003"/>
    <n v="789501600"/>
    <n v="44.561700000000002"/>
    <n v="330.14800000000002"/>
    <n v="1034.1851999999999"/>
  </r>
  <r>
    <x v="35"/>
    <s v="2026-03-08 19:00:00"/>
    <s v="1 hour"/>
    <s v="374"/>
    <s v="RNC_ZTE_Mvogada_new(374)"/>
    <s v="374"/>
    <s v="RNC_ZTE_Mvogada_new(374)"/>
    <s v="10269"/>
    <x v="3"/>
    <n v="100"/>
    <n v="1"/>
    <n v="71.89"/>
    <n v="5.4702000000000002"/>
    <n v="99.64"/>
    <n v="98.25"/>
    <n v="0.98240000000000005"/>
    <n v="0.98270000000000002"/>
    <n v="0.19"/>
    <n v="0.54999999999999993"/>
    <n v="0"/>
    <n v="0"/>
    <n v="0"/>
    <n v="0"/>
    <n v="0.73939999999999995"/>
    <n v="0.86160000000000003"/>
    <n v="-12.59"/>
    <n v="-93.09"/>
    <n v="0.99939999999999996"/>
    <n v="100"/>
    <n v="1"/>
    <n v="6.4000000000000003E-3"/>
    <n v="5.6800000000000003E-2"/>
    <n v="0"/>
    <n v="0"/>
    <n v="157"/>
    <n v="0.99990000000000001"/>
    <n v="789501600"/>
    <n v="96.974999999999994"/>
    <n v="402.80200000000002"/>
    <n v="1089.8"/>
  </r>
  <r>
    <x v="35"/>
    <s v="2026-03-08 19:00:00"/>
    <s v="1 hour"/>
    <s v="374"/>
    <s v="RNC_ZTE_Mvogada_new(374)"/>
    <s v="374"/>
    <s v="RNC_ZTE_Mvogada_new(374)"/>
    <s v="10535"/>
    <x v="4"/>
    <n v="100"/>
    <n v="1"/>
    <n v="38.43"/>
    <n v="4.4713000000000003"/>
    <n v="99.81"/>
    <n v="99.82"/>
    <n v="0.99819999999999998"/>
    <n v="0.99819999999999998"/>
    <n v="0.08"/>
    <n v="0.08"/>
    <n v="0"/>
    <n v="0"/>
    <n v="0"/>
    <n v="0"/>
    <n v="0.71260000000000001"/>
    <n v="0.29430000000000001"/>
    <n v="-11.7"/>
    <n v="-95.22"/>
    <n v="0.99980000000000002"/>
    <n v="100"/>
    <n v="1"/>
    <n v="6.1999999999999998E-3"/>
    <n v="4.9200000000000001E-2"/>
    <n v="0"/>
    <n v="0"/>
    <n v="52"/>
    <n v="1"/>
    <n v="789501600"/>
    <n v="41.868400000000001"/>
    <n v="247.1875"/>
    <n v="982.03129999999999"/>
  </r>
  <r>
    <x v="35"/>
    <s v="2026-03-08 19:00:00"/>
    <s v="1 hour"/>
    <s v="374"/>
    <s v="RNC_ZTE_Mvogada_new(374)"/>
    <s v="374"/>
    <s v="RNC_ZTE_Mvogada_new(374)"/>
    <s v="1057"/>
    <x v="5"/>
    <n v="100"/>
    <n v="1"/>
    <n v="64.069999999999993"/>
    <n v="5.0039999999999996"/>
    <n v="99.79"/>
    <n v="99.75"/>
    <n v="0.99750000000000005"/>
    <n v="0.99770000000000003"/>
    <n v="0"/>
    <n v="0.1"/>
    <n v="0"/>
    <n v="0"/>
    <n v="0"/>
    <n v="0"/>
    <n v="0.73929999999999996"/>
    <n v="0.45479999999999998"/>
    <n v="-11.26"/>
    <n v="-93.49"/>
    <n v="0.99919999999999998"/>
    <m/>
    <n v="0.76919999999999999"/>
    <n v="6.0000000000000001E-3"/>
    <n v="4.5100000000000001E-2"/>
    <n v="0"/>
    <n v="0"/>
    <n v="83"/>
    <n v="1"/>
    <n v="789501600"/>
    <n v="50.863300000000002"/>
    <n v="247.68530000000001"/>
    <n v="1105.4072000000001"/>
  </r>
  <r>
    <x v="35"/>
    <s v="2026-03-08 19:00:00"/>
    <s v="1 hour"/>
    <s v="374"/>
    <s v="RNC_ZTE_Mvogada_new(374)"/>
    <s v="374"/>
    <s v="RNC_ZTE_Mvogada_new(374)"/>
    <s v="10726"/>
    <x v="6"/>
    <n v="17.86"/>
    <n v="0.17860000000000001"/>
    <n v="11.08"/>
    <n v="1.0111000000000001"/>
    <n v="94.38"/>
    <n v="97.21"/>
    <n v="0.97230000000000005"/>
    <n v="0.97230000000000005"/>
    <n v="13.36"/>
    <n v="2.36"/>
    <n v="12"/>
    <n v="0"/>
    <n v="0"/>
    <n v="0"/>
    <n v="0.67330000000000001"/>
    <n v="0.14849999999999999"/>
    <n v="-10.99"/>
    <n v="-97.04"/>
    <n v="0.97009999999999996"/>
    <m/>
    <n v="1"/>
    <n v="8.2000000000000007E-3"/>
    <n v="4.4999999999999998E-2"/>
    <n v="0"/>
    <n v="0"/>
    <n v="124"/>
    <n v="0.99970000000000003"/>
    <n v="789519343"/>
    <n v="7.0816999999999997"/>
    <n v="54.5505"/>
    <n v="228.37309999999999"/>
  </r>
  <r>
    <x v="36"/>
    <s v="2026-03-08 20:00:00"/>
    <s v="1 hour"/>
    <s v="373"/>
    <s v="RNC_ZTE_Messamendongo(373)"/>
    <s v="373"/>
    <s v="RNC_ZTE_Messamendongo(373)"/>
    <s v="10468"/>
    <x v="0"/>
    <n v="100"/>
    <n v="1"/>
    <n v="36.64"/>
    <n v="4.5465999999999998"/>
    <n v="99.72"/>
    <n v="99.81"/>
    <n v="0.99809999999999999"/>
    <n v="0.99809999999999999"/>
    <n v="0.15"/>
    <n v="0.1"/>
    <n v="0"/>
    <n v="0"/>
    <n v="0"/>
    <n v="0"/>
    <n v="0.52959999999999996"/>
    <n v="0.18920000000000001"/>
    <n v="-11"/>
    <n v="-96.15"/>
    <n v="0.99960000000000004"/>
    <n v="100"/>
    <n v="0.5"/>
    <n v="4.1000000000000003E-3"/>
    <n v="4.2999999999999997E-2"/>
    <n v="0"/>
    <n v="0"/>
    <n v="43"/>
    <n v="0.99990000000000001"/>
    <n v="789501600"/>
    <n v="47.008299999999998"/>
    <n v="293.3211"/>
    <n v="947.90089999999998"/>
  </r>
  <r>
    <x v="36"/>
    <s v="2026-03-08 20:00:00"/>
    <s v="1 hour"/>
    <s v="373"/>
    <s v="RNC_ZTE_Messamendongo(373)"/>
    <s v="373"/>
    <s v="RNC_ZTE_Messamendongo(373)"/>
    <s v="10599"/>
    <x v="1"/>
    <n v="100"/>
    <n v="1"/>
    <n v="33.42"/>
    <n v="3.6524000000000001"/>
    <n v="99.95"/>
    <n v="99.77000000000001"/>
    <n v="0.99770000000000003"/>
    <n v="0.99770000000000003"/>
    <n v="0.16"/>
    <n v="0.11"/>
    <n v="0"/>
    <n v="0"/>
    <n v="0"/>
    <n v="0"/>
    <n v="0.46329999999999999"/>
    <n v="0.16220000000000001"/>
    <n v="-10.18"/>
    <n v="-96.76"/>
    <n v="0.99950000000000006"/>
    <n v="50"/>
    <n v="1"/>
    <n v="5.3E-3"/>
    <n v="4.8300000000000003E-2"/>
    <n v="0"/>
    <n v="0"/>
    <n v="73"/>
    <n v="1"/>
    <n v="789501600"/>
    <n v="36.233400000000003"/>
    <n v="173.32810000000001"/>
    <n v="819.79870000000005"/>
  </r>
  <r>
    <x v="36"/>
    <s v="2026-03-08 20:00:00"/>
    <s v="1 hour"/>
    <s v="373"/>
    <s v="RNC_ZTE_Messamendongo(373)"/>
    <s v="373"/>
    <s v="RNC_ZTE_Messamendongo(373)"/>
    <s v="10900"/>
    <x v="2"/>
    <n v="100"/>
    <n v="1"/>
    <n v="30.26"/>
    <n v="4.6439000000000004"/>
    <n v="99.53"/>
    <n v="99.79"/>
    <n v="0.99790000000000001"/>
    <n v="0.99790000000000001"/>
    <n v="0.11"/>
    <n v="0.06"/>
    <n v="0"/>
    <n v="0"/>
    <n v="0"/>
    <n v="0"/>
    <n v="0.59909999999999997"/>
    <n v="0.21990000000000001"/>
    <n v="-9.9600000000000009"/>
    <n v="-97.02"/>
    <n v="0.99970000000000003"/>
    <n v="74.069999999999993"/>
    <n v="0.93020000000000003"/>
    <n v="5.0000000000000001E-3"/>
    <n v="4.48E-2"/>
    <n v="0"/>
    <n v="0"/>
    <n v="37"/>
    <n v="0.99970000000000003"/>
    <n v="789501600"/>
    <n v="42.045000000000002"/>
    <n v="207.02690000000001"/>
    <n v="1078.3561"/>
  </r>
  <r>
    <x v="36"/>
    <s v="2026-03-08 20:00:00"/>
    <s v="1 hour"/>
    <s v="374"/>
    <s v="RNC_ZTE_Mvogada_new(374)"/>
    <s v="374"/>
    <s v="RNC_ZTE_Mvogada_new(374)"/>
    <s v="10269"/>
    <x v="3"/>
    <n v="100"/>
    <n v="1"/>
    <n v="80.63"/>
    <n v="5.444"/>
    <n v="99.539999999999992"/>
    <n v="97.21"/>
    <n v="0.97199999999999998"/>
    <n v="0.97319999999999995"/>
    <n v="0.08"/>
    <n v="0.96"/>
    <n v="1"/>
    <n v="0"/>
    <n v="0"/>
    <n v="0"/>
    <n v="0.75170000000000003"/>
    <n v="1"/>
    <n v="-12.64"/>
    <n v="-92.37"/>
    <n v="0.99939999999999996"/>
    <n v="40"/>
    <n v="1"/>
    <n v="6.6E-3"/>
    <n v="4.9299999999999997E-2"/>
    <n v="0"/>
    <n v="0"/>
    <n v="183"/>
    <n v="1"/>
    <n v="789501600"/>
    <n v="89.841700000000003"/>
    <n v="396.58049999999997"/>
    <n v="1104.9838999999999"/>
  </r>
  <r>
    <x v="36"/>
    <s v="2026-03-08 20:00:00"/>
    <s v="1 hour"/>
    <s v="374"/>
    <s v="RNC_ZTE_Mvogada_new(374)"/>
    <s v="374"/>
    <s v="RNC_ZTE_Mvogada_new(374)"/>
    <s v="10535"/>
    <x v="4"/>
    <n v="100"/>
    <n v="1"/>
    <n v="39.15"/>
    <n v="4.4263000000000003"/>
    <n v="99.51"/>
    <n v="99.81"/>
    <n v="0.99809999999999999"/>
    <n v="0.99809999999999999"/>
    <n v="0.16999999999999998"/>
    <n v="0.1"/>
    <n v="0"/>
    <n v="0"/>
    <n v="0"/>
    <n v="0"/>
    <n v="0.71109999999999995"/>
    <n v="0.29060000000000002"/>
    <n v="-11.76"/>
    <n v="-94.71"/>
    <n v="0.99970000000000003"/>
    <m/>
    <n v="1"/>
    <n v="5.1999999999999998E-3"/>
    <n v="4.1000000000000002E-2"/>
    <n v="0"/>
    <n v="0"/>
    <n v="39"/>
    <n v="1"/>
    <n v="789501600"/>
    <n v="42.905000000000001"/>
    <n v="267.97910000000002"/>
    <n v="954.45280000000002"/>
  </r>
  <r>
    <x v="36"/>
    <s v="2026-03-08 20:00:00"/>
    <s v="1 hour"/>
    <s v="374"/>
    <s v="RNC_ZTE_Mvogada_new(374)"/>
    <s v="374"/>
    <s v="RNC_ZTE_Mvogada_new(374)"/>
    <s v="1057"/>
    <x v="5"/>
    <n v="100"/>
    <n v="1"/>
    <n v="68.8"/>
    <n v="4.7956000000000003"/>
    <n v="99.429999999999993"/>
    <n v="99.64"/>
    <n v="0.99650000000000005"/>
    <n v="0.99660000000000004"/>
    <n v="0.04"/>
    <n v="0.2"/>
    <n v="0"/>
    <n v="0"/>
    <n v="0"/>
    <n v="0"/>
    <n v="0.80579999999999996"/>
    <n v="0.4582"/>
    <n v="-11.8"/>
    <n v="-91.85"/>
    <n v="0.99909999999999999"/>
    <m/>
    <n v="0.875"/>
    <n v="6.7999999999999996E-3"/>
    <n v="3.39E-2"/>
    <n v="0"/>
    <n v="0"/>
    <n v="79"/>
    <n v="1"/>
    <n v="789501600"/>
    <n v="58.0167"/>
    <n v="287.69369999999998"/>
    <n v="1001.6423"/>
  </r>
  <r>
    <x v="36"/>
    <s v="2026-03-08 20:00:00"/>
    <s v="1 hour"/>
    <s v="374"/>
    <s v="RNC_ZTE_Mvogada_new(374)"/>
    <s v="374"/>
    <s v="RNC_ZTE_Mvogada_new(374)"/>
    <s v="10726"/>
    <x v="6"/>
    <n v="22.86"/>
    <n v="0.2286"/>
    <n v="13.68"/>
    <n v="1.3068"/>
    <n v="97.399999999999991"/>
    <n v="98.37"/>
    <n v="0.98370000000000002"/>
    <n v="0.98440000000000005"/>
    <n v="7.82"/>
    <n v="1.35"/>
    <n v="5"/>
    <n v="0"/>
    <n v="0"/>
    <n v="0"/>
    <n v="0.6522"/>
    <n v="0.16969999999999999"/>
    <n v="-10.9"/>
    <n v="-97.19"/>
    <n v="0.9829"/>
    <m/>
    <n v="1"/>
    <n v="6.8999999999999999E-3"/>
    <n v="4.8000000000000001E-2"/>
    <n v="0"/>
    <n v="0"/>
    <n v="132"/>
    <n v="0.99990000000000001"/>
    <n v="789518262"/>
    <n v="9.6783999999999999"/>
    <n v="78.327500000000001"/>
    <n v="278.90789999999998"/>
  </r>
  <r>
    <x v="37"/>
    <s v="2026-03-08 21:00:00"/>
    <s v="1 hour"/>
    <s v="373"/>
    <s v="RNC_ZTE_Messamendongo(373)"/>
    <s v="373"/>
    <s v="RNC_ZTE_Messamendongo(373)"/>
    <s v="10468"/>
    <x v="0"/>
    <n v="100"/>
    <n v="1"/>
    <n v="36.46"/>
    <n v="4.8262"/>
    <n v="99.58"/>
    <n v="99.87"/>
    <n v="0.99870000000000003"/>
    <n v="0.99870000000000003"/>
    <n v="0"/>
    <n v="0.06"/>
    <n v="0"/>
    <n v="0"/>
    <n v="0"/>
    <n v="0"/>
    <n v="0.55659999999999998"/>
    <n v="0.19500000000000001"/>
    <n v="-11.21"/>
    <n v="-96.43"/>
    <n v="0.99980000000000002"/>
    <n v="100"/>
    <n v="1"/>
    <n v="4.4999999999999997E-3"/>
    <n v="3.9E-2"/>
    <n v="0"/>
    <n v="0"/>
    <n v="37"/>
    <n v="0.99990000000000001"/>
    <n v="789501600"/>
    <n v="45.748399999999997"/>
    <n v="264.64879999999999"/>
    <n v="1065.7847999999999"/>
  </r>
  <r>
    <x v="37"/>
    <s v="2026-03-08 21:00:00"/>
    <s v="1 hour"/>
    <s v="373"/>
    <s v="RNC_ZTE_Messamendongo(373)"/>
    <s v="373"/>
    <s v="RNC_ZTE_Messamendongo(373)"/>
    <s v="10599"/>
    <x v="1"/>
    <n v="100"/>
    <n v="1"/>
    <n v="28.39"/>
    <n v="5.0099"/>
    <n v="99.67"/>
    <n v="99.75"/>
    <n v="0.99750000000000005"/>
    <n v="0.99750000000000005"/>
    <n v="0"/>
    <n v="0.11"/>
    <n v="0"/>
    <n v="0"/>
    <n v="0"/>
    <n v="0"/>
    <n v="0.49930000000000002"/>
    <n v="0.16789999999999999"/>
    <n v="-10.58"/>
    <n v="-97.25"/>
    <n v="0.99980000000000002"/>
    <m/>
    <n v="1"/>
    <n v="4.3E-3"/>
    <n v="4.2599999999999999E-2"/>
    <n v="0"/>
    <n v="0"/>
    <n v="67"/>
    <n v="0.99990000000000001"/>
    <n v="789501600"/>
    <n v="39.031700000000001"/>
    <n v="280.76519999999999"/>
    <n v="1120.6122"/>
  </r>
  <r>
    <x v="37"/>
    <s v="2026-03-08 21:00:00"/>
    <s v="1 hour"/>
    <s v="373"/>
    <s v="RNC_ZTE_Messamendongo(373)"/>
    <s v="373"/>
    <s v="RNC_ZTE_Messamendongo(373)"/>
    <s v="10900"/>
    <x v="2"/>
    <n v="100"/>
    <n v="1"/>
    <n v="29.25"/>
    <n v="4.6180000000000003"/>
    <n v="99.67"/>
    <n v="99.850000000000009"/>
    <n v="0.99850000000000005"/>
    <n v="0.99850000000000005"/>
    <n v="0.06"/>
    <n v="0.11"/>
    <n v="0"/>
    <n v="0"/>
    <n v="0"/>
    <n v="0"/>
    <n v="0.61029999999999995"/>
    <n v="0.2114"/>
    <n v="-10.07"/>
    <n v="-97.17"/>
    <n v="0.99950000000000006"/>
    <n v="94.12"/>
    <n v="0.94869999999999999"/>
    <n v="4.3E-3"/>
    <n v="3.5900000000000001E-2"/>
    <n v="0"/>
    <n v="0"/>
    <n v="36"/>
    <n v="0.99970000000000003"/>
    <n v="789501600"/>
    <n v="42.7134"/>
    <n v="208.97800000000001"/>
    <n v="1075.1724999999999"/>
  </r>
  <r>
    <x v="37"/>
    <s v="2026-03-08 21:00:00"/>
    <s v="1 hour"/>
    <s v="374"/>
    <s v="RNC_ZTE_Mvogada_new(374)"/>
    <s v="374"/>
    <s v="RNC_ZTE_Mvogada_new(374)"/>
    <s v="10269"/>
    <x v="3"/>
    <n v="100"/>
    <n v="1"/>
    <n v="76.87"/>
    <n v="5.9569999999999999"/>
    <n v="99.660000000000011"/>
    <n v="98.72999999999999"/>
    <n v="0.98729999999999996"/>
    <n v="0.98750000000000004"/>
    <n v="0.08"/>
    <n v="0.43"/>
    <n v="0"/>
    <n v="0"/>
    <n v="0"/>
    <n v="0"/>
    <n v="0.7409"/>
    <n v="0.90359999999999996"/>
    <n v="-12.47"/>
    <n v="-90.46"/>
    <n v="0.99939999999999996"/>
    <n v="80"/>
    <n v="1"/>
    <n v="6.7000000000000002E-3"/>
    <n v="5.1400000000000001E-2"/>
    <n v="0"/>
    <n v="0"/>
    <n v="177"/>
    <n v="0.99990000000000001"/>
    <n v="789501600"/>
    <n v="108.5133"/>
    <n v="442.02629999999999"/>
    <n v="1214.4368999999999"/>
  </r>
  <r>
    <x v="37"/>
    <s v="2026-03-08 21:00:00"/>
    <s v="1 hour"/>
    <s v="374"/>
    <s v="RNC_ZTE_Mvogada_new(374)"/>
    <s v="374"/>
    <s v="RNC_ZTE_Mvogada_new(374)"/>
    <s v="10535"/>
    <x v="4"/>
    <n v="100"/>
    <n v="1"/>
    <n v="34.049999999999997"/>
    <n v="4.8003"/>
    <n v="99.72999999999999"/>
    <n v="99.839999999999989"/>
    <n v="0.99839999999999995"/>
    <n v="0.99850000000000005"/>
    <n v="0.1"/>
    <n v="0.1"/>
    <n v="0"/>
    <n v="0"/>
    <n v="0"/>
    <n v="0"/>
    <n v="0.70369999999999999"/>
    <n v="0.28760000000000002"/>
    <n v="-11.43"/>
    <n v="-95.36"/>
    <n v="0.99960000000000004"/>
    <m/>
    <n v="1"/>
    <n v="5.8999999999999999E-3"/>
    <n v="4.2700000000000002E-2"/>
    <n v="0"/>
    <n v="0"/>
    <n v="59"/>
    <n v="1"/>
    <n v="789501600"/>
    <n v="43.736699999999999"/>
    <n v="229.78319999999999"/>
    <n v="1091.2897"/>
  </r>
  <r>
    <x v="37"/>
    <s v="2026-03-08 21:00:00"/>
    <s v="1 hour"/>
    <s v="374"/>
    <s v="RNC_ZTE_Mvogada_new(374)"/>
    <s v="374"/>
    <s v="RNC_ZTE_Mvogada_new(374)"/>
    <s v="1057"/>
    <x v="5"/>
    <n v="100"/>
    <n v="1"/>
    <n v="59.42"/>
    <n v="5.4715999999999996"/>
    <n v="99.61"/>
    <n v="99.81"/>
    <n v="0.99809999999999999"/>
    <n v="0.99809999999999999"/>
    <n v="0.05"/>
    <n v="6.9999999999999993E-2"/>
    <n v="0"/>
    <n v="0"/>
    <n v="0"/>
    <n v="0"/>
    <n v="0.73950000000000005"/>
    <n v="0.46279999999999999"/>
    <n v="-11.32"/>
    <n v="-92.3"/>
    <n v="0.99950000000000006"/>
    <m/>
    <n v="0.73080000000000001"/>
    <n v="6.0000000000000001E-3"/>
    <n v="3.95E-2"/>
    <n v="0"/>
    <n v="0"/>
    <n v="55"/>
    <n v="1"/>
    <n v="789501600"/>
    <n v="50.988300000000002"/>
    <n v="302.23860000000002"/>
    <n v="1175.4093"/>
  </r>
  <r>
    <x v="37"/>
    <s v="2026-03-08 21:00:00"/>
    <s v="1 hour"/>
    <s v="374"/>
    <s v="RNC_ZTE_Mvogada_new(374)"/>
    <s v="374"/>
    <s v="RNC_ZTE_Mvogada_new(374)"/>
    <s v="10726"/>
    <x v="6"/>
    <n v="28.79"/>
    <n v="0.28789999999999999"/>
    <n v="16.309999999999999"/>
    <n v="1.8021"/>
    <n v="98.11"/>
    <n v="98.81"/>
    <n v="0.98799999999999999"/>
    <n v="0.98760000000000003"/>
    <n v="7.5399999999999991"/>
    <n v="1.1499999999999999"/>
    <n v="9"/>
    <n v="0"/>
    <n v="0"/>
    <n v="0"/>
    <n v="0.69699999999999995"/>
    <n v="0.22839999999999999"/>
    <n v="-11.23"/>
    <n v="-97.01"/>
    <n v="0.98899999999999999"/>
    <m/>
    <n v="1"/>
    <n v="6.7999999999999996E-3"/>
    <n v="4.4499999999999998E-2"/>
    <n v="0"/>
    <n v="0"/>
    <n v="123"/>
    <n v="1"/>
    <n v="789516982"/>
    <n v="14.423299999999999"/>
    <n v="98.583500000000001"/>
    <n v="398.20620000000002"/>
  </r>
  <r>
    <x v="38"/>
    <s v="2026-03-08 22:00:00"/>
    <s v="1 hour"/>
    <s v="373"/>
    <s v="RNC_ZTE_Messamendongo(373)"/>
    <s v="373"/>
    <s v="RNC_ZTE_Messamendongo(373)"/>
    <s v="10468"/>
    <x v="0"/>
    <n v="100"/>
    <n v="1"/>
    <n v="33.01"/>
    <n v="4.5895000000000001"/>
    <n v="99.550000000000011"/>
    <n v="99.839999999999989"/>
    <n v="0.99839999999999995"/>
    <n v="0.99829999999999997"/>
    <n v="0"/>
    <n v="0.08"/>
    <n v="0"/>
    <n v="0"/>
    <n v="0"/>
    <n v="0"/>
    <n v="0.50700000000000001"/>
    <n v="0.20030000000000001"/>
    <n v="-10.89"/>
    <n v="-97.21"/>
    <n v="0.99970000000000003"/>
    <n v="100"/>
    <n v="0.8"/>
    <n v="4.4000000000000003E-3"/>
    <n v="4.6100000000000002E-2"/>
    <n v="0"/>
    <n v="0"/>
    <n v="43"/>
    <n v="0.99990000000000001"/>
    <n v="789501600"/>
    <n v="42.981699999999996"/>
    <n v="239.8561"/>
    <n v="1030.0635"/>
  </r>
  <r>
    <x v="38"/>
    <s v="2026-03-08 22:00:00"/>
    <s v="1 hour"/>
    <s v="373"/>
    <s v="RNC_ZTE_Messamendongo(373)"/>
    <s v="373"/>
    <s v="RNC_ZTE_Messamendongo(373)"/>
    <s v="10599"/>
    <x v="1"/>
    <n v="100"/>
    <n v="1"/>
    <n v="25.41"/>
    <n v="4.9691000000000001"/>
    <n v="99.8"/>
    <n v="99.81"/>
    <n v="0.99809999999999999"/>
    <n v="0.99829999999999997"/>
    <n v="0.35000000000000003"/>
    <n v="6.9999999999999993E-2"/>
    <n v="0"/>
    <n v="0"/>
    <n v="0"/>
    <n v="0"/>
    <n v="0.43480000000000002"/>
    <n v="0.15440000000000001"/>
    <n v="-9.91"/>
    <n v="-97.04"/>
    <n v="0.99980000000000002"/>
    <m/>
    <n v="0"/>
    <n v="5.1999999999999998E-3"/>
    <n v="4.7300000000000002E-2"/>
    <n v="0"/>
    <n v="0"/>
    <n v="60"/>
    <n v="1"/>
    <n v="789501600"/>
    <n v="35.091700000000003"/>
    <n v="435.69709999999998"/>
    <n v="889.80700000000002"/>
  </r>
  <r>
    <x v="38"/>
    <s v="2026-03-08 22:00:00"/>
    <s v="1 hour"/>
    <s v="373"/>
    <s v="RNC_ZTE_Messamendongo(373)"/>
    <s v="373"/>
    <s v="RNC_ZTE_Messamendongo(373)"/>
    <s v="10900"/>
    <x v="2"/>
    <n v="100"/>
    <n v="1"/>
    <n v="24.02"/>
    <n v="4.5231000000000003"/>
    <n v="99.839999999999989"/>
    <n v="99.9"/>
    <n v="0.999"/>
    <n v="0.999"/>
    <n v="0.43"/>
    <n v="0.09"/>
    <n v="0"/>
    <n v="0"/>
    <n v="0"/>
    <n v="0"/>
    <n v="0.62050000000000005"/>
    <n v="0.22359999999999999"/>
    <n v="-10.31"/>
    <n v="-98.17"/>
    <n v="0.99960000000000004"/>
    <n v="84.21"/>
    <n v="0.96879999999999999"/>
    <n v="4.3E-3"/>
    <n v="3.44E-2"/>
    <n v="0"/>
    <n v="0"/>
    <n v="29"/>
    <n v="0.99970000000000003"/>
    <n v="789501600"/>
    <n v="43.476700000000001"/>
    <n v="186.93870000000001"/>
    <n v="1061.6681000000001"/>
  </r>
  <r>
    <x v="38"/>
    <s v="2026-03-08 22:00:00"/>
    <s v="1 hour"/>
    <s v="374"/>
    <s v="RNC_ZTE_Mvogada_new(374)"/>
    <s v="374"/>
    <s v="RNC_ZTE_Mvogada_new(374)"/>
    <s v="10269"/>
    <x v="3"/>
    <n v="100"/>
    <n v="1"/>
    <n v="65.319999999999993"/>
    <n v="6.2972999999999999"/>
    <n v="99.59"/>
    <n v="99.429999999999993"/>
    <n v="0.99419999999999997"/>
    <n v="0.99439999999999995"/>
    <n v="0.16"/>
    <n v="0.24"/>
    <n v="0"/>
    <n v="0"/>
    <n v="0"/>
    <n v="0"/>
    <n v="0.74880000000000002"/>
    <n v="0.77010000000000001"/>
    <n v="-12.48"/>
    <n v="-90.49"/>
    <n v="0.99950000000000006"/>
    <n v="33.33"/>
    <n v="0"/>
    <n v="7.6E-3"/>
    <n v="6.3299999999999995E-2"/>
    <n v="0"/>
    <n v="0"/>
    <n v="157"/>
    <n v="1"/>
    <n v="789501600"/>
    <n v="110.9332"/>
    <n v="477.71719999999999"/>
    <n v="1267.5309"/>
  </r>
  <r>
    <x v="38"/>
    <s v="2026-03-08 22:00:00"/>
    <s v="1 hour"/>
    <s v="374"/>
    <s v="RNC_ZTE_Mvogada_new(374)"/>
    <s v="374"/>
    <s v="RNC_ZTE_Mvogada_new(374)"/>
    <s v="10535"/>
    <x v="4"/>
    <n v="100"/>
    <n v="1"/>
    <n v="28.67"/>
    <n v="5.8315999999999999"/>
    <n v="99.76"/>
    <n v="99.839999999999989"/>
    <n v="0.99839999999999995"/>
    <n v="0.99850000000000005"/>
    <n v="0.06"/>
    <n v="0.06"/>
    <n v="0"/>
    <n v="0"/>
    <n v="0"/>
    <n v="0"/>
    <n v="0.71730000000000005"/>
    <n v="0.31169999999999998"/>
    <n v="-11.38"/>
    <n v="-96.25"/>
    <n v="0.99950000000000006"/>
    <m/>
    <n v="0.5"/>
    <n v="6.8999999999999999E-3"/>
    <n v="5.5E-2"/>
    <n v="0"/>
    <n v="0"/>
    <n v="50"/>
    <n v="1"/>
    <n v="789501600"/>
    <n v="47.565100000000001"/>
    <n v="266.67669999999998"/>
    <n v="1345.3137999999999"/>
  </r>
  <r>
    <x v="38"/>
    <s v="2026-03-08 22:00:00"/>
    <s v="1 hour"/>
    <s v="374"/>
    <s v="RNC_ZTE_Mvogada_new(374)"/>
    <s v="374"/>
    <s v="RNC_ZTE_Mvogada_new(374)"/>
    <s v="1057"/>
    <x v="5"/>
    <n v="100"/>
    <n v="1"/>
    <n v="46.84"/>
    <n v="4.9467999999999996"/>
    <n v="99.8"/>
    <n v="99.87"/>
    <n v="0.99870000000000003"/>
    <n v="0.99870000000000003"/>
    <n v="0.06"/>
    <n v="0.1"/>
    <n v="0"/>
    <n v="0"/>
    <n v="0"/>
    <n v="0"/>
    <n v="0.72250000000000003"/>
    <n v="0.42459999999999998"/>
    <n v="-11.1"/>
    <n v="-93"/>
    <n v="0.99960000000000004"/>
    <m/>
    <n v="0.89470000000000005"/>
    <n v="6.1000000000000004E-3"/>
    <n v="5.2699999999999997E-2"/>
    <n v="0"/>
    <n v="0"/>
    <n v="33"/>
    <n v="1"/>
    <n v="789501600"/>
    <n v="48.479900000000001"/>
    <n v="290.48880000000003"/>
    <n v="1027.4360999999999"/>
  </r>
  <r>
    <x v="38"/>
    <s v="2026-03-08 22:00:00"/>
    <s v="1 hour"/>
    <s v="374"/>
    <s v="RNC_ZTE_Mvogada_new(374)"/>
    <s v="374"/>
    <s v="RNC_ZTE_Mvogada_new(374)"/>
    <s v="10726"/>
    <x v="6"/>
    <n v="29.78"/>
    <n v="0.29780000000000001"/>
    <n v="14.46"/>
    <n v="1.9576"/>
    <n v="98.63"/>
    <n v="99.03"/>
    <n v="0.99029999999999996"/>
    <n v="0.99009999999999998"/>
    <n v="8.66"/>
    <n v="0.91999999999999993"/>
    <n v="5"/>
    <n v="0"/>
    <n v="0"/>
    <n v="0"/>
    <n v="0.61509999999999998"/>
    <n v="0.22439999999999999"/>
    <n v="-10.66"/>
    <n v="-98"/>
    <n v="0.99180000000000001"/>
    <m/>
    <n v="1"/>
    <n v="7.6E-3"/>
    <n v="6.3200000000000006E-2"/>
    <n v="0"/>
    <n v="0"/>
    <n v="119"/>
    <n v="1"/>
    <n v="789516768"/>
    <n v="12.9817"/>
    <n v="105.1532"/>
    <n v="436.95069999999998"/>
  </r>
  <r>
    <x v="39"/>
    <s v="2026-03-08 23:00:00"/>
    <s v="1 hour"/>
    <s v="373"/>
    <s v="RNC_ZTE_Messamendongo(373)"/>
    <s v="373"/>
    <s v="RNC_ZTE_Messamendongo(373)"/>
    <s v="10468"/>
    <x v="0"/>
    <n v="100"/>
    <n v="1"/>
    <n v="25.53"/>
    <n v="4.0422000000000002"/>
    <n v="99.89"/>
    <n v="99.83"/>
    <n v="0.99829999999999997"/>
    <n v="0.99829999999999997"/>
    <n v="0"/>
    <n v="0.06"/>
    <n v="0"/>
    <n v="0"/>
    <n v="0"/>
    <n v="0"/>
    <n v="0.48220000000000002"/>
    <n v="0.18940000000000001"/>
    <n v="-10.48"/>
    <n v="-97.6"/>
    <n v="0.99939999999999996"/>
    <m/>
    <n v="1"/>
    <n v="4.1000000000000003E-3"/>
    <n v="4.5100000000000001E-2"/>
    <n v="0"/>
    <n v="0"/>
    <n v="36"/>
    <n v="0.99990000000000001"/>
    <n v="789501600"/>
    <n v="37.023400000000002"/>
    <n v="172.19229999999999"/>
    <n v="942.28139999999996"/>
  </r>
  <r>
    <x v="39"/>
    <s v="2026-03-08 23:00:00"/>
    <s v="1 hour"/>
    <s v="373"/>
    <s v="RNC_ZTE_Messamendongo(373)"/>
    <s v="373"/>
    <s v="RNC_ZTE_Messamendongo(373)"/>
    <s v="10599"/>
    <x v="1"/>
    <n v="100"/>
    <n v="1"/>
    <n v="20.68"/>
    <n v="4.2110000000000003"/>
    <n v="99.4"/>
    <n v="99.86"/>
    <n v="0.99860000000000004"/>
    <n v="0.99870000000000003"/>
    <n v="0.09"/>
    <n v="0.08"/>
    <n v="0"/>
    <n v="0"/>
    <n v="0"/>
    <n v="0"/>
    <n v="0.34289999999999998"/>
    <n v="0.1449"/>
    <n v="-9.07"/>
    <n v="-97.6"/>
    <n v="0.99980000000000002"/>
    <m/>
    <n v="0.5"/>
    <n v="5.3E-3"/>
    <n v="3.09E-2"/>
    <n v="0"/>
    <n v="0"/>
    <n v="59"/>
    <n v="1"/>
    <n v="789501600"/>
    <n v="29.245000000000001"/>
    <n v="382.68950000000001"/>
    <n v="777.46659999999997"/>
  </r>
  <r>
    <x v="39"/>
    <s v="2026-03-08 23:00:00"/>
    <s v="1 hour"/>
    <s v="373"/>
    <s v="RNC_ZTE_Messamendongo(373)"/>
    <s v="373"/>
    <s v="RNC_ZTE_Messamendongo(373)"/>
    <s v="10900"/>
    <x v="2"/>
    <n v="100"/>
    <n v="1"/>
    <n v="16.93"/>
    <n v="4.8250000000000002"/>
    <n v="99.68"/>
    <n v="99.81"/>
    <n v="0.99809999999999999"/>
    <n v="0.99809999999999999"/>
    <n v="0"/>
    <n v="6.9999999999999993E-2"/>
    <n v="0"/>
    <n v="0"/>
    <n v="0"/>
    <n v="0"/>
    <n v="0.52700000000000002"/>
    <n v="0.2087"/>
    <n v="-9.58"/>
    <n v="-98.23"/>
    <n v="0.99939999999999996"/>
    <n v="92.31"/>
    <n v="1"/>
    <n v="4.4999999999999997E-3"/>
    <n v="3.3599999999999998E-2"/>
    <n v="0"/>
    <n v="0"/>
    <n v="26"/>
    <n v="0.99960000000000004"/>
    <n v="789501600"/>
    <n v="37.32"/>
    <n v="204.22020000000001"/>
    <n v="1150.1880000000001"/>
  </r>
  <r>
    <x v="39"/>
    <s v="2026-03-08 23:00:00"/>
    <s v="1 hour"/>
    <s v="374"/>
    <s v="RNC_ZTE_Mvogada_new(374)"/>
    <s v="374"/>
    <s v="RNC_ZTE_Mvogada_new(374)"/>
    <s v="10269"/>
    <x v="3"/>
    <n v="100"/>
    <n v="1"/>
    <n v="50.19"/>
    <n v="5.9557000000000002"/>
    <n v="99.8"/>
    <n v="99.839999999999989"/>
    <n v="0.99839999999999995"/>
    <n v="0.99839999999999995"/>
    <n v="0.09"/>
    <n v="0.15"/>
    <n v="0"/>
    <n v="0"/>
    <n v="0"/>
    <n v="0"/>
    <n v="0.67689999999999995"/>
    <n v="0.53910000000000002"/>
    <n v="-12.1"/>
    <n v="-91.92"/>
    <n v="0.99960000000000004"/>
    <n v="100"/>
    <n v="0"/>
    <n v="6.7999999999999996E-3"/>
    <n v="5.4600000000000003E-2"/>
    <n v="0"/>
    <n v="0"/>
    <n v="98"/>
    <n v="0.99990000000000001"/>
    <n v="789501600"/>
    <n v="83.951700000000002"/>
    <n v="426.24959999999999"/>
    <n v="1238.9276"/>
  </r>
  <r>
    <x v="39"/>
    <s v="2026-03-08 23:00:00"/>
    <s v="1 hour"/>
    <s v="374"/>
    <s v="RNC_ZTE_Mvogada_new(374)"/>
    <s v="374"/>
    <s v="RNC_ZTE_Mvogada_new(374)"/>
    <s v="10535"/>
    <x v="4"/>
    <n v="100"/>
    <n v="1"/>
    <n v="27.94"/>
    <n v="5.0846999999999998"/>
    <n v="99.839999999999989"/>
    <n v="99.89"/>
    <n v="0.99890000000000001"/>
    <n v="0.99890000000000001"/>
    <n v="0"/>
    <n v="0.03"/>
    <n v="0"/>
    <n v="0"/>
    <n v="0"/>
    <n v="0"/>
    <n v="0.60199999999999998"/>
    <n v="0.28939999999999999"/>
    <n v="-10.51"/>
    <n v="-96.93"/>
    <n v="0.99980000000000002"/>
    <m/>
    <n v="1"/>
    <n v="5.8999999999999999E-3"/>
    <n v="3.8300000000000001E-2"/>
    <n v="0"/>
    <n v="0"/>
    <n v="29"/>
    <n v="1"/>
    <n v="789501600"/>
    <n v="36.460099999999997"/>
    <n v="209.12690000000001"/>
    <n v="1201.2355"/>
  </r>
  <r>
    <x v="39"/>
    <s v="2026-03-08 23:00:00"/>
    <s v="1 hour"/>
    <s v="374"/>
    <s v="RNC_ZTE_Mvogada_new(374)"/>
    <s v="374"/>
    <s v="RNC_ZTE_Mvogada_new(374)"/>
    <s v="1057"/>
    <x v="5"/>
    <n v="100"/>
    <n v="1"/>
    <n v="36.729999999999997"/>
    <n v="5.0693999999999999"/>
    <n v="99.92"/>
    <n v="99.9"/>
    <n v="0.999"/>
    <n v="0.999"/>
    <n v="0.04"/>
    <n v="0.09"/>
    <n v="0"/>
    <n v="0"/>
    <n v="0"/>
    <n v="0"/>
    <n v="0.69650000000000001"/>
    <n v="0.36430000000000001"/>
    <n v="-10.84"/>
    <n v="-94.8"/>
    <n v="0.99950000000000006"/>
    <m/>
    <n v="0.8"/>
    <n v="4.7000000000000002E-3"/>
    <n v="3.7499999999999999E-2"/>
    <n v="0"/>
    <n v="0"/>
    <n v="40"/>
    <n v="1"/>
    <n v="789501600"/>
    <n v="43.07"/>
    <n v="247.02879999999999"/>
    <n v="1151.7049999999999"/>
  </r>
  <r>
    <x v="39"/>
    <s v="2026-03-08 23:00:00"/>
    <s v="1 hour"/>
    <s v="374"/>
    <s v="RNC_ZTE_Mvogada_new(374)"/>
    <s v="374"/>
    <s v="RNC_ZTE_Mvogada_new(374)"/>
    <s v="10726"/>
    <x v="6"/>
    <n v="76.53"/>
    <n v="0.76529999999999998"/>
    <n v="17.98"/>
    <n v="4.6654999999999998"/>
    <n v="99.79"/>
    <n v="99.75"/>
    <n v="0.99750000000000005"/>
    <n v="0.99750000000000005"/>
    <n v="1.54"/>
    <n v="0.13999999999999999"/>
    <n v="0"/>
    <n v="0"/>
    <n v="0"/>
    <n v="0"/>
    <n v="0.53600000000000003"/>
    <n v="0.34610000000000002"/>
    <n v="-9.81"/>
    <n v="-99.49"/>
    <n v="0.99890000000000001"/>
    <m/>
    <n v="0.5"/>
    <n v="5.1000000000000004E-3"/>
    <n v="5.0700000000000002E-2"/>
    <n v="0"/>
    <n v="0"/>
    <n v="45"/>
    <n v="1"/>
    <n v="789506669"/>
    <n v="30.49"/>
    <n v="197.00069999999999"/>
    <n v="1105.4347"/>
  </r>
  <r>
    <x v="40"/>
    <s v="2026-03-09 00:00:00"/>
    <s v="1 hour"/>
    <s v="373"/>
    <s v="RNC_ZTE_Messamendongo(373)"/>
    <s v="373"/>
    <s v="RNC_ZTE_Messamendongo(373)"/>
    <s v="10468"/>
    <x v="0"/>
    <n v="100"/>
    <n v="1"/>
    <n v="15.75"/>
    <n v="2.7993000000000001"/>
    <n v="99.61"/>
    <n v="99.86"/>
    <n v="0.99860000000000004"/>
    <n v="0.99870000000000003"/>
    <n v="0.1"/>
    <n v="0.05"/>
    <n v="0"/>
    <n v="0"/>
    <n v="0"/>
    <n v="0"/>
    <n v="0.32640000000000002"/>
    <n v="0.1779"/>
    <n v="-9.06"/>
    <n v="-99.54"/>
    <n v="1"/>
    <n v="100"/>
    <n v="1"/>
    <n v="3.8E-3"/>
    <n v="2.86E-2"/>
    <n v="0"/>
    <n v="0"/>
    <n v="29"/>
    <n v="0.99980000000000002"/>
    <n v="789501600"/>
    <n v="30.311699999999998"/>
    <n v="132.0675"/>
    <n v="632.73680000000002"/>
  </r>
  <r>
    <x v="40"/>
    <s v="2026-03-09 00:00:00"/>
    <s v="1 hour"/>
    <s v="373"/>
    <s v="RNC_ZTE_Messamendongo(373)"/>
    <s v="373"/>
    <s v="RNC_ZTE_Messamendongo(373)"/>
    <s v="10599"/>
    <x v="1"/>
    <n v="100"/>
    <n v="1"/>
    <n v="13.18"/>
    <n v="3.2692999999999999"/>
    <n v="99.87"/>
    <n v="99.86"/>
    <n v="0.99860000000000004"/>
    <n v="0.99880000000000002"/>
    <n v="0"/>
    <n v="0.04"/>
    <n v="0"/>
    <n v="0"/>
    <n v="0"/>
    <n v="0"/>
    <n v="0.23280000000000001"/>
    <n v="0.1101"/>
    <n v="-7.31"/>
    <n v="-100.08"/>
    <n v="0.99980000000000002"/>
    <m/>
    <n v="0.5"/>
    <n v="2.8999999999999998E-3"/>
    <n v="1.4800000000000001E-2"/>
    <n v="0"/>
    <n v="0"/>
    <n v="37"/>
    <n v="0.99990000000000001"/>
    <n v="789501600"/>
    <n v="22.885000000000002"/>
    <n v="348.97710000000001"/>
    <n v="562.52909999999997"/>
  </r>
  <r>
    <x v="40"/>
    <s v="2026-03-09 00:00:00"/>
    <s v="1 hour"/>
    <s v="373"/>
    <s v="RNC_ZTE_Messamendongo(373)"/>
    <s v="373"/>
    <s v="RNC_ZTE_Messamendongo(373)"/>
    <s v="10900"/>
    <x v="2"/>
    <n v="100"/>
    <n v="1"/>
    <n v="13.89"/>
    <n v="2.9045999999999998"/>
    <n v="99.83"/>
    <n v="99.87"/>
    <n v="0.99870000000000003"/>
    <n v="0.99870000000000003"/>
    <n v="0"/>
    <n v="0.03"/>
    <n v="0"/>
    <n v="0"/>
    <n v="0"/>
    <n v="0"/>
    <n v="0.32429999999999998"/>
    <n v="0.14449999999999999"/>
    <n v="-7.54"/>
    <n v="-99.72"/>
    <n v="0.99890000000000001"/>
    <n v="100"/>
    <n v="1"/>
    <n v="4.0000000000000001E-3"/>
    <n v="3.09E-2"/>
    <n v="0"/>
    <n v="0"/>
    <n v="9"/>
    <n v="0.99970000000000003"/>
    <n v="789501600"/>
    <n v="25.021699999999999"/>
    <n v="131.60120000000001"/>
    <n v="660.41049999999996"/>
  </r>
  <r>
    <x v="40"/>
    <s v="2026-03-09 00:00:00"/>
    <s v="1 hour"/>
    <s v="374"/>
    <s v="RNC_ZTE_Mvogada_new(374)"/>
    <s v="374"/>
    <s v="RNC_ZTE_Mvogada_new(374)"/>
    <s v="10269"/>
    <x v="3"/>
    <n v="100"/>
    <n v="1"/>
    <n v="34.01"/>
    <n v="5.0385999999999997"/>
    <n v="99.41"/>
    <n v="99.9"/>
    <n v="0.999"/>
    <n v="0.999"/>
    <n v="0.05"/>
    <n v="6.9999999999999993E-2"/>
    <n v="0"/>
    <n v="0"/>
    <n v="0"/>
    <n v="0"/>
    <n v="0.54"/>
    <n v="0.50160000000000005"/>
    <n v="-11.08"/>
    <n v="-93.66"/>
    <n v="0.99939999999999996"/>
    <n v="20"/>
    <n v="1"/>
    <n v="7.4000000000000003E-3"/>
    <n v="6.2100000000000002E-2"/>
    <n v="0"/>
    <n v="0"/>
    <n v="56"/>
    <n v="0.99990000000000001"/>
    <n v="789501600"/>
    <n v="64.471800000000002"/>
    <n v="304.59280000000001"/>
    <n v="1104.9766999999999"/>
  </r>
  <r>
    <x v="40"/>
    <s v="2026-03-09 00:00:00"/>
    <s v="1 hour"/>
    <s v="374"/>
    <s v="RNC_ZTE_Mvogada_new(374)"/>
    <s v="374"/>
    <s v="RNC_ZTE_Mvogada_new(374)"/>
    <s v="10535"/>
    <x v="4"/>
    <n v="100"/>
    <n v="1"/>
    <n v="15.2"/>
    <n v="4.0918999999999999"/>
    <n v="99.89"/>
    <n v="99.87"/>
    <n v="0.99870000000000003"/>
    <n v="0.99880000000000002"/>
    <n v="0"/>
    <n v="0.05"/>
    <n v="0"/>
    <n v="0"/>
    <n v="0"/>
    <n v="0"/>
    <n v="0.4284"/>
    <n v="0.22850000000000001"/>
    <n v="-9.01"/>
    <n v="-98.79"/>
    <n v="0.99950000000000006"/>
    <m/>
    <n v="1"/>
    <n v="6.7999999999999996E-3"/>
    <n v="4.4699999999999997E-2"/>
    <n v="0"/>
    <n v="0"/>
    <n v="33"/>
    <n v="1"/>
    <n v="789501600"/>
    <n v="27.715"/>
    <n v="175.22710000000001"/>
    <n v="969.7278"/>
  </r>
  <r>
    <x v="40"/>
    <s v="2026-03-09 00:00:00"/>
    <s v="1 hour"/>
    <s v="374"/>
    <s v="RNC_ZTE_Mvogada_new(374)"/>
    <s v="374"/>
    <s v="RNC_ZTE_Mvogada_new(374)"/>
    <s v="1057"/>
    <x v="5"/>
    <n v="100"/>
    <n v="1"/>
    <n v="29.9"/>
    <n v="4.1830999999999996"/>
    <n v="99.78"/>
    <n v="99.87"/>
    <n v="0.99870000000000003"/>
    <n v="0.99880000000000002"/>
    <n v="0"/>
    <n v="0.05"/>
    <n v="0"/>
    <n v="0"/>
    <n v="0"/>
    <n v="0"/>
    <n v="0.58919999999999995"/>
    <n v="0.3412"/>
    <n v="-9.89"/>
    <n v="-96.64"/>
    <n v="0.99929999999999997"/>
    <m/>
    <n v="0.96550000000000002"/>
    <n v="4.4000000000000003E-3"/>
    <n v="4.0599999999999997E-2"/>
    <n v="0"/>
    <n v="0"/>
    <n v="18"/>
    <n v="1"/>
    <n v="789501600"/>
    <n v="36.365000000000002"/>
    <n v="194.7422"/>
    <n v="956.15219999999999"/>
  </r>
  <r>
    <x v="40"/>
    <s v="2026-03-09 00:00:00"/>
    <s v="1 hour"/>
    <s v="374"/>
    <s v="RNC_ZTE_Mvogada_new(374)"/>
    <s v="374"/>
    <s v="RNC_ZTE_Mvogada_new(374)"/>
    <s v="10726"/>
    <x v="6"/>
    <n v="95.94"/>
    <n v="0.95940000000000003"/>
    <n v="13.29"/>
    <n v="4.5324999999999998"/>
    <n v="99.72999999999999"/>
    <n v="99.9"/>
    <n v="0.999"/>
    <n v="0.999"/>
    <n v="0.3"/>
    <n v="0.03"/>
    <n v="0"/>
    <n v="0"/>
    <n v="0"/>
    <n v="0"/>
    <n v="0.44790000000000002"/>
    <n v="0.3488"/>
    <n v="-9.0299999999999994"/>
    <n v="-100.64"/>
    <n v="0.99990000000000001"/>
    <m/>
    <n v="1"/>
    <n v="6.4999999999999997E-3"/>
    <n v="5.2600000000000001E-2"/>
    <n v="0"/>
    <n v="0"/>
    <n v="18"/>
    <n v="1"/>
    <n v="789502478"/>
    <n v="30.335000000000001"/>
    <n v="188.92769999999999"/>
    <n v="1056.8652"/>
  </r>
  <r>
    <x v="41"/>
    <s v="2026-03-09 01:00:00"/>
    <s v="1 hour"/>
    <s v="373"/>
    <s v="RNC_ZTE_Messamendongo(373)"/>
    <s v="373"/>
    <s v="RNC_ZTE_Messamendongo(373)"/>
    <s v="10468"/>
    <x v="0"/>
    <n v="100"/>
    <n v="1"/>
    <n v="9.26"/>
    <n v="3.8128000000000002"/>
    <n v="99.6"/>
    <n v="99.929999999999993"/>
    <n v="0.99929999999999997"/>
    <n v="0.99929999999999997"/>
    <n v="0"/>
    <n v="0.02"/>
    <n v="0"/>
    <n v="0"/>
    <n v="0"/>
    <n v="0"/>
    <n v="0.26069999999999999"/>
    <n v="0.13650000000000001"/>
    <n v="-7.58"/>
    <n v="-100.3"/>
    <n v="0.99990000000000001"/>
    <m/>
    <n v="1"/>
    <n v="3.5999999999999999E-3"/>
    <n v="4.0500000000000001E-2"/>
    <n v="0"/>
    <n v="0"/>
    <n v="10"/>
    <n v="0.99970000000000003"/>
    <n v="789501600"/>
    <n v="23.89"/>
    <n v="265.45949999999999"/>
    <n v="786.54830000000004"/>
  </r>
  <r>
    <x v="41"/>
    <s v="2026-03-09 01:00:00"/>
    <s v="1 hour"/>
    <s v="373"/>
    <s v="RNC_ZTE_Messamendongo(373)"/>
    <s v="373"/>
    <s v="RNC_ZTE_Messamendongo(373)"/>
    <s v="10599"/>
    <x v="1"/>
    <n v="100"/>
    <n v="1"/>
    <n v="9.19"/>
    <n v="1.6420999999999999"/>
    <n v="100"/>
    <n v="99.78"/>
    <n v="0.99780000000000002"/>
    <n v="0.99790000000000001"/>
    <n v="0"/>
    <n v="0.09"/>
    <n v="0"/>
    <n v="0"/>
    <n v="0"/>
    <n v="0"/>
    <n v="0.16520000000000001"/>
    <n v="8.7900000000000006E-2"/>
    <n v="-6.44"/>
    <n v="-102.07"/>
    <n v="0.99980000000000002"/>
    <m/>
    <n v="1"/>
    <n v="2.3999999999999998E-3"/>
    <n v="1.9400000000000001E-2"/>
    <n v="0"/>
    <n v="0"/>
    <n v="23"/>
    <n v="0.99970000000000003"/>
    <n v="789501600"/>
    <n v="16.353300000000001"/>
    <n v="115.01739999999999"/>
    <n v="337.98840000000001"/>
  </r>
  <r>
    <x v="41"/>
    <s v="2026-03-09 01:00:00"/>
    <s v="1 hour"/>
    <s v="373"/>
    <s v="RNC_ZTE_Messamendongo(373)"/>
    <s v="373"/>
    <s v="RNC_ZTE_Messamendongo(373)"/>
    <s v="10900"/>
    <x v="2"/>
    <n v="100"/>
    <n v="1"/>
    <n v="7.06"/>
    <n v="1.8694999999999999"/>
    <n v="99.5"/>
    <n v="99.91"/>
    <n v="0.99909999999999999"/>
    <n v="0.99909999999999999"/>
    <n v="0"/>
    <n v="0.02"/>
    <n v="0"/>
    <n v="0"/>
    <n v="0"/>
    <n v="0"/>
    <n v="0.2218"/>
    <n v="0.12870000000000001"/>
    <n v="-6.1"/>
    <n v="-100.5"/>
    <n v="0.99950000000000006"/>
    <n v="100"/>
    <n v="0.9"/>
    <n v="5.0000000000000001E-3"/>
    <n v="4.2000000000000003E-2"/>
    <n v="0"/>
    <n v="0"/>
    <n v="14"/>
    <n v="1"/>
    <n v="789501600"/>
    <n v="19.031600000000001"/>
    <n v="64.025199999999998"/>
    <n v="455.67849999999999"/>
  </r>
  <r>
    <x v="41"/>
    <s v="2026-03-09 01:00:00"/>
    <s v="1 hour"/>
    <s v="374"/>
    <s v="RNC_ZTE_Mvogada_new(374)"/>
    <s v="374"/>
    <s v="RNC_ZTE_Mvogada_new(374)"/>
    <s v="10269"/>
    <x v="3"/>
    <n v="100"/>
    <n v="1"/>
    <n v="17.260000000000002"/>
    <n v="3.6434000000000002"/>
    <n v="99.82"/>
    <n v="99.9"/>
    <n v="0.999"/>
    <n v="0.999"/>
    <n v="6.9999999999999993E-2"/>
    <n v="0.06"/>
    <n v="0"/>
    <n v="0"/>
    <n v="0"/>
    <n v="0"/>
    <n v="0.373"/>
    <n v="0.4325"/>
    <n v="-9.75"/>
    <n v="-95.35"/>
    <n v="0.99919999999999998"/>
    <m/>
    <n v="1"/>
    <n v="8.0000000000000002E-3"/>
    <n v="7.0400000000000004E-2"/>
    <n v="0"/>
    <n v="0"/>
    <n v="48"/>
    <n v="1"/>
    <n v="789501600"/>
    <n v="45.646700000000003"/>
    <n v="227.3442"/>
    <n v="790.83280000000002"/>
  </r>
  <r>
    <x v="41"/>
    <s v="2026-03-09 01:00:00"/>
    <s v="1 hour"/>
    <s v="374"/>
    <s v="RNC_ZTE_Mvogada_new(374)"/>
    <s v="374"/>
    <s v="RNC_ZTE_Mvogada_new(374)"/>
    <s v="10535"/>
    <x v="4"/>
    <n v="100"/>
    <n v="1"/>
    <n v="7.87"/>
    <n v="3.1253000000000002"/>
    <n v="99.83"/>
    <n v="99.78"/>
    <n v="0.99780000000000002"/>
    <n v="0.99780000000000002"/>
    <n v="0"/>
    <n v="0.03"/>
    <n v="0"/>
    <n v="0"/>
    <n v="0"/>
    <n v="0"/>
    <n v="0.33139999999999997"/>
    <n v="0.1893"/>
    <n v="-8.14"/>
    <n v="-100.23"/>
    <n v="0.99929999999999997"/>
    <m/>
    <n v="1"/>
    <n v="6.4999999999999997E-3"/>
    <n v="4.4200000000000003E-2"/>
    <n v="0"/>
    <n v="0"/>
    <n v="22"/>
    <n v="1"/>
    <n v="789501600"/>
    <n v="21.761800000000001"/>
    <n v="100.7949"/>
    <n v="772.36360000000002"/>
  </r>
  <r>
    <x v="41"/>
    <s v="2026-03-09 01:00:00"/>
    <s v="1 hour"/>
    <s v="374"/>
    <s v="RNC_ZTE_Mvogada_new(374)"/>
    <s v="374"/>
    <s v="RNC_ZTE_Mvogada_new(374)"/>
    <s v="1057"/>
    <x v="5"/>
    <n v="100"/>
    <n v="1"/>
    <n v="14.98"/>
    <n v="3.1617999999999999"/>
    <n v="99.76"/>
    <n v="99.76"/>
    <n v="0.99760000000000004"/>
    <n v="0.99760000000000004"/>
    <n v="0"/>
    <n v="0.06"/>
    <n v="0"/>
    <n v="0"/>
    <n v="0"/>
    <n v="0"/>
    <n v="0.36009999999999998"/>
    <n v="0.28760000000000002"/>
    <n v="-7.69"/>
    <n v="-97.72"/>
    <n v="0.99929999999999997"/>
    <m/>
    <n v="1"/>
    <n v="4.7999999999999996E-3"/>
    <n v="3.32E-2"/>
    <n v="0"/>
    <n v="0"/>
    <n v="16"/>
    <n v="1"/>
    <n v="789501600"/>
    <n v="27.7883"/>
    <n v="225.07689999999999"/>
    <n v="639.73479999999995"/>
  </r>
  <r>
    <x v="41"/>
    <s v="2026-03-09 01:00:00"/>
    <s v="1 hour"/>
    <s v="374"/>
    <s v="RNC_ZTE_Mvogada_new(374)"/>
    <s v="374"/>
    <s v="RNC_ZTE_Mvogada_new(374)"/>
    <s v="10726"/>
    <x v="6"/>
    <n v="100"/>
    <n v="1"/>
    <n v="7.91"/>
    <n v="4.0518999999999998"/>
    <n v="100"/>
    <n v="99.92"/>
    <n v="0.99919999999999998"/>
    <n v="0.99919999999999998"/>
    <n v="0.22"/>
    <n v="0.02"/>
    <n v="0"/>
    <n v="0"/>
    <n v="0"/>
    <n v="0"/>
    <n v="0.31169999999999998"/>
    <n v="0.31430000000000002"/>
    <n v="-6.98"/>
    <n v="-101.19"/>
    <n v="0.99950000000000006"/>
    <m/>
    <n v="0.9"/>
    <n v="4.8999999999999998E-3"/>
    <n v="3.56E-2"/>
    <n v="0"/>
    <n v="0"/>
    <n v="9"/>
    <n v="1"/>
    <n v="789501600"/>
    <n v="26.191700000000001"/>
    <n v="133.40100000000001"/>
    <n v="1002.7624"/>
  </r>
  <r>
    <x v="42"/>
    <s v="2026-03-09 02:00:00"/>
    <s v="1 hour"/>
    <s v="373"/>
    <s v="RNC_ZTE_Messamendongo(373)"/>
    <s v="373"/>
    <s v="RNC_ZTE_Messamendongo(373)"/>
    <s v="10468"/>
    <x v="0"/>
    <n v="100"/>
    <n v="1"/>
    <n v="6.45"/>
    <n v="2.9110999999999998"/>
    <n v="100"/>
    <n v="99.960000000000008"/>
    <n v="0.99960000000000004"/>
    <n v="0.99970000000000003"/>
    <n v="0"/>
    <n v="0.03"/>
    <n v="0"/>
    <n v="0"/>
    <n v="0"/>
    <n v="0"/>
    <n v="0.2051"/>
    <n v="9.6699999999999994E-2"/>
    <n v="-6.33"/>
    <n v="-101.42"/>
    <n v="0.99960000000000004"/>
    <m/>
    <n v="0.66669999999999996"/>
    <n v="3.2000000000000002E-3"/>
    <n v="2.46E-2"/>
    <n v="0"/>
    <n v="0"/>
    <n v="3"/>
    <n v="0.99990000000000001"/>
    <n v="789501600"/>
    <n v="16.754999999999999"/>
    <n v="101.9241"/>
    <n v="707.27959999999996"/>
  </r>
  <r>
    <x v="42"/>
    <s v="2026-03-09 02:00:00"/>
    <s v="1 hour"/>
    <s v="373"/>
    <s v="RNC_ZTE_Messamendongo(373)"/>
    <s v="373"/>
    <s v="RNC_ZTE_Messamendongo(373)"/>
    <s v="10599"/>
    <x v="1"/>
    <n v="100"/>
    <n v="1"/>
    <n v="4.2300000000000004"/>
    <n v="1.1728000000000001"/>
    <n v="100"/>
    <n v="99.92"/>
    <n v="0.99919999999999998"/>
    <n v="0.99919999999999998"/>
    <n v="0"/>
    <n v="0.05"/>
    <n v="0"/>
    <n v="0"/>
    <n v="0"/>
    <n v="0"/>
    <n v="0.1181"/>
    <n v="9.2999999999999999E-2"/>
    <n v="-4.8600000000000003"/>
    <n v="-103.05"/>
    <n v="0.99970000000000003"/>
    <m/>
    <n v="0"/>
    <n v="4.0000000000000001E-3"/>
    <n v="3.3300000000000003E-2"/>
    <n v="0"/>
    <n v="0"/>
    <n v="13"/>
    <n v="0.99980000000000002"/>
    <n v="789501600"/>
    <n v="14.808299999999999"/>
    <n v="46.9801"/>
    <n v="283.01100000000002"/>
  </r>
  <r>
    <x v="42"/>
    <s v="2026-03-09 02:00:00"/>
    <s v="1 hour"/>
    <s v="373"/>
    <s v="RNC_ZTE_Messamendongo(373)"/>
    <s v="373"/>
    <s v="RNC_ZTE_Messamendongo(373)"/>
    <s v="10900"/>
    <x v="2"/>
    <n v="100"/>
    <n v="1"/>
    <n v="5.31"/>
    <n v="1.0032000000000001"/>
    <n v="100"/>
    <n v="99.95"/>
    <n v="0.99950000000000006"/>
    <n v="0.99950000000000006"/>
    <n v="0"/>
    <n v="0.02"/>
    <n v="0"/>
    <n v="0"/>
    <n v="0"/>
    <n v="0"/>
    <n v="0.14180000000000001"/>
    <n v="0.12330000000000001"/>
    <n v="-5"/>
    <n v="-100.99"/>
    <n v="0.99980000000000002"/>
    <m/>
    <n v="1"/>
    <n v="2.3E-3"/>
    <n v="1.6E-2"/>
    <n v="0"/>
    <n v="0"/>
    <n v="5"/>
    <n v="1"/>
    <n v="789501600"/>
    <n v="15.7234"/>
    <n v="65.980400000000003"/>
    <n v="215.8329"/>
  </r>
  <r>
    <x v="42"/>
    <s v="2026-03-09 02:00:00"/>
    <s v="1 hour"/>
    <s v="374"/>
    <s v="RNC_ZTE_Mvogada_new(374)"/>
    <s v="374"/>
    <s v="RNC_ZTE_Mvogada_new(374)"/>
    <s v="10269"/>
    <x v="3"/>
    <n v="100"/>
    <n v="1"/>
    <n v="10.32"/>
    <n v="2.0754000000000001"/>
    <n v="99.7"/>
    <n v="99.86"/>
    <n v="0.99850000000000005"/>
    <n v="0.99860000000000004"/>
    <n v="0"/>
    <n v="0.02"/>
    <n v="0"/>
    <n v="0"/>
    <n v="0"/>
    <n v="0"/>
    <n v="0.24809999999999999"/>
    <n v="0.35599999999999998"/>
    <n v="-8.5500000000000007"/>
    <n v="-96.1"/>
    <n v="0.99960000000000004"/>
    <m/>
    <n v="1"/>
    <n v="8.0000000000000002E-3"/>
    <n v="5.2200000000000003E-2"/>
    <n v="0"/>
    <n v="0"/>
    <n v="29"/>
    <n v="1"/>
    <n v="789501600"/>
    <n v="36.181699999999999"/>
    <n v="169.28870000000001"/>
    <n v="409.7722"/>
  </r>
  <r>
    <x v="42"/>
    <s v="2026-03-09 02:00:00"/>
    <s v="1 hour"/>
    <s v="374"/>
    <s v="RNC_ZTE_Mvogada_new(374)"/>
    <s v="374"/>
    <s v="RNC_ZTE_Mvogada_new(374)"/>
    <s v="10535"/>
    <x v="4"/>
    <n v="100"/>
    <n v="1"/>
    <n v="3.2"/>
    <n v="1.2884"/>
    <n v="99.45"/>
    <n v="99.91"/>
    <n v="0.99909999999999999"/>
    <n v="0.99909999999999999"/>
    <n v="0"/>
    <n v="0.05"/>
    <n v="0"/>
    <n v="0"/>
    <n v="0"/>
    <n v="0"/>
    <n v="0.21560000000000001"/>
    <n v="0.19120000000000001"/>
    <n v="-6.86"/>
    <n v="-101.07"/>
    <n v="0.99939999999999996"/>
    <m/>
    <n v="1"/>
    <n v="8.8000000000000005E-3"/>
    <n v="5.62E-2"/>
    <n v="0"/>
    <n v="0"/>
    <n v="16"/>
    <n v="1"/>
    <n v="789501600"/>
    <n v="19.344999999999999"/>
    <n v="68.825199999999995"/>
    <n v="291.77249999999998"/>
  </r>
  <r>
    <x v="42"/>
    <s v="2026-03-09 02:00:00"/>
    <s v="1 hour"/>
    <s v="374"/>
    <s v="RNC_ZTE_Mvogada_new(374)"/>
    <s v="374"/>
    <s v="RNC_ZTE_Mvogada_new(374)"/>
    <s v="1057"/>
    <x v="5"/>
    <n v="100"/>
    <n v="1"/>
    <n v="8.73"/>
    <n v="1.4574"/>
    <n v="99.86"/>
    <n v="99.91"/>
    <n v="0.99909999999999999"/>
    <n v="0.99909999999999999"/>
    <n v="0"/>
    <n v="0.03"/>
    <n v="0"/>
    <n v="0"/>
    <n v="0"/>
    <n v="0"/>
    <n v="0.22570000000000001"/>
    <n v="0.2283"/>
    <n v="-6.27"/>
    <n v="-99.21"/>
    <n v="0.99950000000000006"/>
    <m/>
    <n v="1"/>
    <n v="4.8999999999999998E-3"/>
    <n v="3.2399999999999998E-2"/>
    <n v="0"/>
    <n v="0"/>
    <n v="6"/>
    <n v="1"/>
    <n v="789501600"/>
    <n v="18.826699999999999"/>
    <n v="78.364000000000004"/>
    <n v="310.3501"/>
  </r>
  <r>
    <x v="42"/>
    <s v="2026-03-09 02:00:00"/>
    <s v="1 hour"/>
    <s v="374"/>
    <s v="RNC_ZTE_Mvogada_new(374)"/>
    <s v="374"/>
    <s v="RNC_ZTE_Mvogada_new(374)"/>
    <s v="10726"/>
    <x v="6"/>
    <n v="100"/>
    <n v="1"/>
    <n v="5.24"/>
    <n v="2.7957000000000001"/>
    <n v="99.7"/>
    <n v="99.99"/>
    <n v="0.99990000000000001"/>
    <n v="0.99990000000000001"/>
    <n v="0"/>
    <n v="0.01"/>
    <n v="0"/>
    <n v="0"/>
    <n v="0"/>
    <n v="0"/>
    <n v="0.21840000000000001"/>
    <n v="0.25690000000000002"/>
    <n v="-5.72"/>
    <n v="-101.95"/>
    <n v="0.99960000000000004"/>
    <m/>
    <n v="1"/>
    <n v="2.8999999999999998E-3"/>
    <n v="2.4899999999999999E-2"/>
    <n v="0"/>
    <n v="0"/>
    <n v="4"/>
    <n v="1"/>
    <n v="789501600"/>
    <n v="22.274999999999999"/>
    <n v="98.0959"/>
    <n v="670.63059999999996"/>
  </r>
  <r>
    <x v="43"/>
    <s v="2026-03-09 03:00:00"/>
    <s v="1 hour"/>
    <s v="373"/>
    <s v="RNC_ZTE_Messamendongo(373)"/>
    <s v="373"/>
    <s v="RNC_ZTE_Messamendongo(373)"/>
    <s v="10468"/>
    <x v="0"/>
    <n v="100"/>
    <n v="1"/>
    <n v="5.32"/>
    <n v="1.4862"/>
    <n v="100"/>
    <n v="99.95"/>
    <n v="0.99950000000000006"/>
    <n v="0.99950000000000006"/>
    <n v="0"/>
    <n v="0.03"/>
    <n v="0"/>
    <n v="0"/>
    <n v="0"/>
    <n v="0"/>
    <n v="0.15559999999999999"/>
    <n v="8.1000000000000003E-2"/>
    <n v="-5.64"/>
    <n v="-101.86"/>
    <n v="0.99950000000000006"/>
    <m/>
    <n v="1"/>
    <n v="2.5000000000000001E-3"/>
    <n v="2.41E-2"/>
    <n v="0"/>
    <n v="0"/>
    <n v="5"/>
    <n v="1"/>
    <n v="789501600"/>
    <n v="15.021599999999999"/>
    <n v="57.110700000000001"/>
    <n v="349.51510000000002"/>
  </r>
  <r>
    <x v="43"/>
    <s v="2026-03-09 03:00:00"/>
    <s v="1 hour"/>
    <s v="373"/>
    <s v="RNC_ZTE_Messamendongo(373)"/>
    <s v="373"/>
    <s v="RNC_ZTE_Messamendongo(373)"/>
    <s v="10599"/>
    <x v="1"/>
    <n v="100"/>
    <n v="1"/>
    <n v="1.33"/>
    <n v="0.9486"/>
    <n v="100"/>
    <n v="99.79"/>
    <n v="0.99780000000000002"/>
    <n v="0.99790000000000001"/>
    <n v="0"/>
    <n v="0.05"/>
    <n v="0"/>
    <n v="0"/>
    <n v="0"/>
    <n v="0"/>
    <n v="0.1148"/>
    <n v="7.6399999999999996E-2"/>
    <n v="-4.88"/>
    <n v="-103.36"/>
    <n v="0.99939999999999996"/>
    <m/>
    <n v="1"/>
    <n v="5.3E-3"/>
    <n v="2.8799999999999999E-2"/>
    <n v="0"/>
    <n v="0"/>
    <n v="7"/>
    <n v="0.99990000000000001"/>
    <n v="789501600"/>
    <n v="12.3833"/>
    <n v="37.731999999999999"/>
    <n v="224.83840000000001"/>
  </r>
  <r>
    <x v="43"/>
    <s v="2026-03-09 03:00:00"/>
    <s v="1 hour"/>
    <s v="373"/>
    <s v="RNC_ZTE_Messamendongo(373)"/>
    <s v="373"/>
    <s v="RNC_ZTE_Messamendongo(373)"/>
    <s v="10900"/>
    <x v="2"/>
    <n v="100"/>
    <n v="1"/>
    <n v="2.02"/>
    <n v="0.72850000000000004"/>
    <n v="100"/>
    <n v="99.98"/>
    <n v="0.99980000000000002"/>
    <n v="0.99980000000000002"/>
    <n v="0"/>
    <n v="0.04"/>
    <n v="0"/>
    <n v="0"/>
    <n v="0"/>
    <n v="0"/>
    <n v="0.12790000000000001"/>
    <n v="0.1229"/>
    <n v="-4.55"/>
    <n v="-101.24"/>
    <n v="0.99939999999999996"/>
    <m/>
    <n v="1"/>
    <n v="2.2000000000000001E-3"/>
    <n v="3.9899999999999998E-2"/>
    <n v="0"/>
    <n v="0"/>
    <n v="4"/>
    <n v="1"/>
    <n v="789501600"/>
    <n v="14.25"/>
    <n v="36.550899999999999"/>
    <n v="166.15770000000001"/>
  </r>
  <r>
    <x v="43"/>
    <s v="2026-03-09 03:00:00"/>
    <s v="1 hour"/>
    <s v="374"/>
    <s v="RNC_ZTE_Mvogada_new(374)"/>
    <s v="374"/>
    <s v="RNC_ZTE_Mvogada_new(374)"/>
    <s v="10269"/>
    <x v="3"/>
    <n v="100"/>
    <n v="1"/>
    <n v="7.23"/>
    <n v="2.0861000000000001"/>
    <n v="100"/>
    <n v="99.81"/>
    <n v="0.99809999999999999"/>
    <n v="0.99809999999999999"/>
    <n v="0"/>
    <n v="0.03"/>
    <n v="0"/>
    <n v="0"/>
    <n v="0"/>
    <n v="0"/>
    <n v="0.21390000000000001"/>
    <n v="0.31319999999999998"/>
    <n v="-8.18"/>
    <n v="-96.41"/>
    <n v="0.99950000000000006"/>
    <m/>
    <n v="1"/>
    <n v="5.5999999999999999E-3"/>
    <n v="4.1700000000000001E-2"/>
    <n v="0"/>
    <n v="0"/>
    <n v="32"/>
    <n v="1"/>
    <n v="789501600"/>
    <n v="32.884999999999998"/>
    <n v="209.98339999999999"/>
    <n v="385.37979999999999"/>
  </r>
  <r>
    <x v="43"/>
    <s v="2026-03-09 03:00:00"/>
    <s v="1 hour"/>
    <s v="374"/>
    <s v="RNC_ZTE_Mvogada_new(374)"/>
    <s v="374"/>
    <s v="RNC_ZTE_Mvogada_new(374)"/>
    <s v="10535"/>
    <x v="4"/>
    <n v="100"/>
    <n v="1"/>
    <n v="5.0999999999999996"/>
    <n v="1.0527"/>
    <n v="100"/>
    <n v="99.97"/>
    <n v="0.99970000000000003"/>
    <n v="0.99970000000000003"/>
    <n v="0"/>
    <n v="0.02"/>
    <n v="0"/>
    <n v="0"/>
    <n v="0"/>
    <n v="0"/>
    <n v="0.16300000000000001"/>
    <n v="0.1953"/>
    <n v="-5.79"/>
    <n v="-101.38"/>
    <n v="1"/>
    <m/>
    <n v="1"/>
    <n v="3.8999999999999998E-3"/>
    <n v="2.6800000000000001E-2"/>
    <n v="0"/>
    <n v="0"/>
    <n v="6"/>
    <n v="1"/>
    <n v="789501600"/>
    <n v="18.6067"/>
    <n v="88.878"/>
    <n v="212.45930000000001"/>
  </r>
  <r>
    <x v="43"/>
    <s v="2026-03-09 03:00:00"/>
    <s v="1 hour"/>
    <s v="374"/>
    <s v="RNC_ZTE_Mvogada_new(374)"/>
    <s v="374"/>
    <s v="RNC_ZTE_Mvogada_new(374)"/>
    <s v="1057"/>
    <x v="5"/>
    <n v="100"/>
    <n v="1"/>
    <n v="5.96"/>
    <n v="1.1605000000000001"/>
    <n v="99.82"/>
    <n v="99.91"/>
    <n v="0.99909999999999999"/>
    <n v="0.99909999999999999"/>
    <n v="0.2"/>
    <n v="0.04"/>
    <n v="0"/>
    <n v="0"/>
    <n v="0"/>
    <n v="0"/>
    <n v="0.17560000000000001"/>
    <n v="0.19500000000000001"/>
    <n v="-5.45"/>
    <n v="-99.66"/>
    <n v="0.99890000000000001"/>
    <m/>
    <n v="0.75"/>
    <n v="4.3E-3"/>
    <n v="3.32E-2"/>
    <n v="0"/>
    <n v="0"/>
    <n v="6"/>
    <n v="1"/>
    <n v="789501600"/>
    <n v="15.0517"/>
    <n v="64.178899999999999"/>
    <n v="260.44170000000003"/>
  </r>
  <r>
    <x v="43"/>
    <s v="2026-03-09 03:00:00"/>
    <s v="1 hour"/>
    <s v="374"/>
    <s v="RNC_ZTE_Mvogada_new(374)"/>
    <s v="374"/>
    <s v="RNC_ZTE_Mvogada_new(374)"/>
    <s v="10726"/>
    <x v="6"/>
    <n v="100"/>
    <n v="1"/>
    <n v="5.48"/>
    <n v="1.7995000000000001"/>
    <n v="100"/>
    <n v="99.98"/>
    <n v="0.99980000000000002"/>
    <n v="0.99980000000000002"/>
    <n v="0"/>
    <n v="0.02"/>
    <n v="0"/>
    <n v="0"/>
    <n v="0"/>
    <n v="0"/>
    <n v="0.1653"/>
    <n v="0.20899999999999999"/>
    <n v="-5.0599999999999996"/>
    <n v="-102.38"/>
    <n v="0.99960000000000004"/>
    <m/>
    <n v="1"/>
    <n v="3.3999999999999998E-3"/>
    <n v="3.5700000000000003E-2"/>
    <n v="0"/>
    <n v="0"/>
    <n v="17"/>
    <n v="1"/>
    <n v="789501600"/>
    <n v="17.62"/>
    <n v="124.574"/>
    <n v="394.10849999999999"/>
  </r>
  <r>
    <x v="44"/>
    <s v="2026-03-09 04:00:00"/>
    <s v="1 hour"/>
    <s v="373"/>
    <s v="RNC_ZTE_Messamendongo(373)"/>
    <s v="373"/>
    <s v="RNC_ZTE_Messamendongo(373)"/>
    <s v="10468"/>
    <x v="0"/>
    <n v="100"/>
    <n v="1"/>
    <n v="1.83"/>
    <n v="0.84809999999999997"/>
    <n v="100"/>
    <n v="99.850000000000009"/>
    <n v="0.99850000000000005"/>
    <n v="0.99850000000000005"/>
    <n v="0"/>
    <n v="0"/>
    <n v="0"/>
    <n v="0"/>
    <n v="0"/>
    <n v="0"/>
    <n v="0.1181"/>
    <n v="7.0599999999999996E-2"/>
    <n v="-4.96"/>
    <n v="-101.97"/>
    <n v="1"/>
    <m/>
    <n v="1"/>
    <n v="2.0999999999999999E-3"/>
    <n v="3.39E-2"/>
    <n v="0"/>
    <n v="0"/>
    <n v="6"/>
    <n v="1"/>
    <n v="789501600"/>
    <n v="13.58"/>
    <n v="38.482799999999997"/>
    <n v="187.32069999999999"/>
  </r>
  <r>
    <x v="44"/>
    <s v="2026-03-09 04:00:00"/>
    <s v="1 hour"/>
    <s v="373"/>
    <s v="RNC_ZTE_Messamendongo(373)"/>
    <s v="373"/>
    <s v="RNC_ZTE_Messamendongo(373)"/>
    <s v="10599"/>
    <x v="1"/>
    <n v="100"/>
    <n v="1"/>
    <n v="1.3"/>
    <n v="0.78259999999999996"/>
    <n v="99.19"/>
    <n v="99.82"/>
    <n v="0.998"/>
    <n v="0.998"/>
    <n v="0"/>
    <n v="0.06"/>
    <n v="0"/>
    <n v="0"/>
    <n v="0"/>
    <n v="0"/>
    <n v="0.1153"/>
    <n v="7.1999999999999995E-2"/>
    <n v="-4.91"/>
    <n v="-103.33"/>
    <n v="0.99960000000000004"/>
    <m/>
    <n v="1"/>
    <n v="7.0000000000000001E-3"/>
    <n v="2.7099999999999999E-2"/>
    <n v="0"/>
    <n v="0"/>
    <n v="10"/>
    <n v="1"/>
    <n v="789501600"/>
    <n v="10.7934"/>
    <n v="30.347799999999999"/>
    <n v="188.86670000000001"/>
  </r>
  <r>
    <x v="44"/>
    <s v="2026-03-09 04:00:00"/>
    <s v="1 hour"/>
    <s v="373"/>
    <s v="RNC_ZTE_Messamendongo(373)"/>
    <s v="373"/>
    <s v="RNC_ZTE_Messamendongo(373)"/>
    <s v="10900"/>
    <x v="2"/>
    <n v="100"/>
    <n v="1"/>
    <n v="1.93"/>
    <n v="0.89349999999999996"/>
    <n v="100"/>
    <n v="99.98"/>
    <n v="0.99980000000000002"/>
    <n v="0.99980000000000002"/>
    <n v="0"/>
    <n v="0.02"/>
    <n v="0"/>
    <n v="0"/>
    <n v="0"/>
    <n v="0"/>
    <n v="0.1371"/>
    <n v="0.10879999999999999"/>
    <n v="-4.72"/>
    <n v="-101.11"/>
    <n v="0.99980000000000002"/>
    <m/>
    <n v="1"/>
    <n v="4.1000000000000003E-3"/>
    <n v="2.5999999999999999E-2"/>
    <n v="0"/>
    <n v="0"/>
    <n v="5"/>
    <n v="1"/>
    <n v="789501600"/>
    <n v="14.523400000000001"/>
    <n v="38.237699999999997"/>
    <n v="209.77029999999999"/>
  </r>
  <r>
    <x v="44"/>
    <s v="2026-03-09 04:00:00"/>
    <s v="1 hour"/>
    <s v="374"/>
    <s v="RNC_ZTE_Mvogada_new(374)"/>
    <s v="374"/>
    <s v="RNC_ZTE_Mvogada_new(374)"/>
    <s v="10269"/>
    <x v="3"/>
    <n v="100"/>
    <n v="1"/>
    <n v="6.74"/>
    <n v="1.9069"/>
    <n v="100"/>
    <n v="99.850000000000009"/>
    <n v="0.99850000000000005"/>
    <n v="0.99850000000000005"/>
    <n v="0"/>
    <n v="0.03"/>
    <n v="0"/>
    <n v="0"/>
    <n v="0"/>
    <n v="0"/>
    <n v="0.1946"/>
    <n v="0.30709999999999998"/>
    <n v="-7.79"/>
    <n v="-96.39"/>
    <n v="0.99939999999999996"/>
    <n v="100"/>
    <n v="1"/>
    <n v="9.7000000000000003E-3"/>
    <n v="7.2700000000000001E-2"/>
    <n v="0"/>
    <n v="0"/>
    <n v="30"/>
    <n v="1"/>
    <n v="789501600"/>
    <n v="28.8217"/>
    <n v="144.2329"/>
    <n v="400.81040000000002"/>
  </r>
  <r>
    <x v="44"/>
    <s v="2026-03-09 04:00:00"/>
    <s v="1 hour"/>
    <s v="374"/>
    <s v="RNC_ZTE_Mvogada_new(374)"/>
    <s v="374"/>
    <s v="RNC_ZTE_Mvogada_new(374)"/>
    <s v="10535"/>
    <x v="4"/>
    <n v="100"/>
    <n v="1"/>
    <n v="2.92"/>
    <n v="1.2222"/>
    <n v="100"/>
    <n v="99.87"/>
    <n v="0.99870000000000003"/>
    <n v="0.99890000000000001"/>
    <n v="0"/>
    <n v="0.02"/>
    <n v="0"/>
    <n v="0"/>
    <n v="0"/>
    <n v="0"/>
    <n v="0.17050000000000001"/>
    <n v="0.19650000000000001"/>
    <n v="-5.81"/>
    <n v="-101.28"/>
    <n v="0.99990000000000001"/>
    <m/>
    <n v="1"/>
    <n v="4.4999999999999997E-3"/>
    <n v="1.9800000000000002E-2"/>
    <n v="0"/>
    <n v="0"/>
    <n v="7"/>
    <n v="1"/>
    <n v="789501600"/>
    <n v="20.128399999999999"/>
    <n v="98.018199999999993"/>
    <n v="245.8426"/>
  </r>
  <r>
    <x v="44"/>
    <s v="2026-03-09 04:00:00"/>
    <s v="1 hour"/>
    <s v="374"/>
    <s v="RNC_ZTE_Mvogada_new(374)"/>
    <s v="374"/>
    <s v="RNC_ZTE_Mvogada_new(374)"/>
    <s v="1057"/>
    <x v="5"/>
    <n v="100"/>
    <n v="1"/>
    <n v="2.59"/>
    <n v="1.0553999999999999"/>
    <n v="99.68"/>
    <n v="99.95"/>
    <n v="0.99950000000000006"/>
    <n v="0.99950000000000006"/>
    <n v="0"/>
    <n v="0.1"/>
    <n v="0"/>
    <n v="0"/>
    <n v="0"/>
    <n v="0"/>
    <n v="0.14949999999999999"/>
    <n v="0.21360000000000001"/>
    <n v="-4.8600000000000003"/>
    <n v="-99.93"/>
    <n v="0.99880000000000002"/>
    <m/>
    <n v="1"/>
    <n v="4.0000000000000001E-3"/>
    <n v="3.78E-2"/>
    <n v="0"/>
    <n v="0"/>
    <n v="2"/>
    <n v="1"/>
    <n v="789501600"/>
    <n v="14.62"/>
    <n v="49.9741"/>
    <n v="247.32820000000001"/>
  </r>
  <r>
    <x v="44"/>
    <s v="2026-03-09 04:00:00"/>
    <s v="1 hour"/>
    <s v="374"/>
    <s v="RNC_ZTE_Mvogada_new(374)"/>
    <s v="374"/>
    <s v="RNC_ZTE_Mvogada_new(374)"/>
    <s v="10726"/>
    <x v="6"/>
    <n v="100"/>
    <n v="1"/>
    <n v="2.37"/>
    <n v="1.3735999999999999"/>
    <n v="100"/>
    <n v="99.98"/>
    <n v="0.99980000000000002"/>
    <n v="0.99980000000000002"/>
    <n v="0"/>
    <n v="0.02"/>
    <n v="0"/>
    <n v="0"/>
    <n v="0"/>
    <n v="0"/>
    <n v="0.1406"/>
    <n v="0.19220000000000001"/>
    <n v="-4.95"/>
    <n v="-102.46"/>
    <n v="0.99980000000000002"/>
    <m/>
    <n v="1"/>
    <n v="2.8E-3"/>
    <n v="2.3E-2"/>
    <n v="0"/>
    <n v="0"/>
    <n v="3"/>
    <n v="1"/>
    <n v="789501600"/>
    <n v="16.3"/>
    <n v="118.2042"/>
    <n v="274.75959999999998"/>
  </r>
  <r>
    <x v="45"/>
    <s v="2026-03-09 05:00:00"/>
    <s v="1 hour"/>
    <s v="373"/>
    <s v="RNC_ZTE_Messamendongo(373)"/>
    <s v="373"/>
    <s v="RNC_ZTE_Messamendongo(373)"/>
    <s v="10468"/>
    <x v="0"/>
    <n v="100"/>
    <n v="1"/>
    <n v="2.08"/>
    <n v="0.91420000000000001"/>
    <n v="100"/>
    <n v="99.960000000000008"/>
    <n v="0.99960000000000004"/>
    <n v="0.99960000000000004"/>
    <n v="0"/>
    <n v="0.03"/>
    <n v="0"/>
    <n v="0"/>
    <n v="0"/>
    <n v="0"/>
    <n v="0.12039999999999999"/>
    <n v="8.2299999999999998E-2"/>
    <n v="-5.33"/>
    <n v="-101.62"/>
    <n v="0.99990000000000001"/>
    <m/>
    <n v="1"/>
    <n v="1.5E-3"/>
    <n v="1.06E-2"/>
    <n v="0"/>
    <n v="0"/>
    <n v="4"/>
    <n v="1"/>
    <n v="789501600"/>
    <n v="14.4033"/>
    <n v="58.143099999999997"/>
    <n v="200.0538"/>
  </r>
  <r>
    <x v="45"/>
    <s v="2026-03-09 05:00:00"/>
    <s v="1 hour"/>
    <s v="373"/>
    <s v="RNC_ZTE_Messamendongo(373)"/>
    <s v="373"/>
    <s v="RNC_ZTE_Messamendongo(373)"/>
    <s v="10599"/>
    <x v="1"/>
    <n v="100"/>
    <n v="1"/>
    <n v="1.05"/>
    <n v="1.1515"/>
    <n v="100"/>
    <n v="99.9"/>
    <n v="0.99880000000000002"/>
    <n v="0.99880000000000002"/>
    <n v="0"/>
    <n v="0.11"/>
    <n v="0"/>
    <n v="0"/>
    <n v="0"/>
    <n v="0"/>
    <n v="0.124"/>
    <n v="6.3899999999999998E-2"/>
    <n v="-5.46"/>
    <n v="-103.23"/>
    <n v="0.99980000000000002"/>
    <m/>
    <n v="1"/>
    <n v="2.5999999999999999E-3"/>
    <n v="1.21E-2"/>
    <n v="0"/>
    <n v="0"/>
    <n v="7"/>
    <n v="0.99980000000000002"/>
    <n v="789501600"/>
    <n v="10.808400000000001"/>
    <n v="42.981900000000003"/>
    <n v="277.54629999999997"/>
  </r>
  <r>
    <x v="45"/>
    <s v="2026-03-09 05:00:00"/>
    <s v="1 hour"/>
    <s v="373"/>
    <s v="RNC_ZTE_Messamendongo(373)"/>
    <s v="373"/>
    <s v="RNC_ZTE_Messamendongo(373)"/>
    <s v="10900"/>
    <x v="2"/>
    <n v="100"/>
    <n v="1"/>
    <n v="0.77"/>
    <n v="1.3105"/>
    <n v="100"/>
    <n v="99.91"/>
    <n v="0.99909999999999999"/>
    <n v="0.99909999999999999"/>
    <n v="0"/>
    <n v="0.05"/>
    <n v="0"/>
    <n v="0"/>
    <n v="0"/>
    <n v="0"/>
    <n v="0.15409999999999999"/>
    <n v="0.1004"/>
    <n v="-5.1100000000000003"/>
    <n v="-100.97"/>
    <n v="0.99919999999999998"/>
    <m/>
    <n v="0.5"/>
    <n v="4.4999999999999997E-3"/>
    <n v="1.5699999999999999E-2"/>
    <n v="0"/>
    <n v="0"/>
    <n v="7"/>
    <n v="1"/>
    <n v="789501600"/>
    <n v="15.21"/>
    <n v="64.879599999999996"/>
    <n v="304.77030000000002"/>
  </r>
  <r>
    <x v="45"/>
    <s v="2026-03-09 05:00:00"/>
    <s v="1 hour"/>
    <s v="374"/>
    <s v="RNC_ZTE_Mvogada_new(374)"/>
    <s v="374"/>
    <s v="RNC_ZTE_Mvogada_new(374)"/>
    <s v="10269"/>
    <x v="3"/>
    <n v="100"/>
    <n v="1"/>
    <n v="3.64"/>
    <n v="2.4859"/>
    <n v="99.78"/>
    <n v="99.86"/>
    <n v="0.99860000000000004"/>
    <n v="0.99860000000000004"/>
    <n v="0"/>
    <n v="0.04"/>
    <n v="0"/>
    <n v="0"/>
    <n v="0"/>
    <n v="0"/>
    <n v="0.20430000000000001"/>
    <n v="0.2918"/>
    <n v="-8.0500000000000007"/>
    <n v="-96.73"/>
    <n v="0.99919999999999998"/>
    <n v="100"/>
    <n v="1"/>
    <n v="5.1999999999999998E-3"/>
    <n v="3.44E-2"/>
    <n v="0"/>
    <n v="0"/>
    <n v="18"/>
    <n v="1"/>
    <n v="789501600"/>
    <n v="28.015000000000001"/>
    <n v="126.6729"/>
    <n v="537.2962"/>
  </r>
  <r>
    <x v="45"/>
    <s v="2026-03-09 05:00:00"/>
    <s v="1 hour"/>
    <s v="374"/>
    <s v="RNC_ZTE_Mvogada_new(374)"/>
    <s v="374"/>
    <s v="RNC_ZTE_Mvogada_new(374)"/>
    <s v="10535"/>
    <x v="4"/>
    <n v="100"/>
    <n v="1"/>
    <n v="2.0699999999999998"/>
    <n v="0.93020000000000003"/>
    <n v="100"/>
    <n v="99.9"/>
    <n v="0.999"/>
    <n v="0.999"/>
    <n v="0"/>
    <n v="0.02"/>
    <n v="0"/>
    <n v="0"/>
    <n v="0"/>
    <n v="0"/>
    <n v="0.1729"/>
    <n v="0.19639999999999999"/>
    <n v="-6.2"/>
    <n v="-101.3"/>
    <n v="0.99980000000000002"/>
    <m/>
    <n v="1"/>
    <n v="4.0000000000000001E-3"/>
    <n v="1.8700000000000001E-2"/>
    <n v="0"/>
    <n v="0"/>
    <n v="8"/>
    <n v="1"/>
    <n v="789501600"/>
    <n v="19.013400000000001"/>
    <n v="72.792400000000001"/>
    <n v="189.7055"/>
  </r>
  <r>
    <x v="45"/>
    <s v="2026-03-09 05:00:00"/>
    <s v="1 hour"/>
    <s v="374"/>
    <s v="RNC_ZTE_Mvogada_new(374)"/>
    <s v="374"/>
    <s v="RNC_ZTE_Mvogada_new(374)"/>
    <s v="1057"/>
    <x v="5"/>
    <n v="100"/>
    <n v="1"/>
    <n v="2.95"/>
    <n v="0.93820000000000003"/>
    <n v="100"/>
    <n v="99.929999999999993"/>
    <n v="0.99929999999999997"/>
    <n v="0.99929999999999997"/>
    <n v="0"/>
    <n v="0.05"/>
    <n v="0"/>
    <n v="0"/>
    <n v="0"/>
    <n v="0"/>
    <n v="0.15459999999999999"/>
    <n v="0.21129999999999999"/>
    <n v="-5.15"/>
    <n v="-99.93"/>
    <n v="0.99990000000000001"/>
    <m/>
    <n v="1"/>
    <n v="4.7000000000000002E-3"/>
    <n v="1.8800000000000001E-2"/>
    <n v="0"/>
    <n v="0"/>
    <n v="5"/>
    <n v="1"/>
    <n v="789501600"/>
    <n v="15.19"/>
    <n v="64.223600000000005"/>
    <n v="192.02010000000001"/>
  </r>
  <r>
    <x v="45"/>
    <s v="2026-03-09 05:00:00"/>
    <s v="1 hour"/>
    <s v="374"/>
    <s v="RNC_ZTE_Mvogada_new(374)"/>
    <s v="374"/>
    <s v="RNC_ZTE_Mvogada_new(374)"/>
    <s v="10726"/>
    <x v="6"/>
    <n v="100"/>
    <n v="1"/>
    <n v="2.71"/>
    <n v="1.6022000000000001"/>
    <n v="100"/>
    <n v="99.94"/>
    <n v="0.99939999999999996"/>
    <n v="0.99939999999999996"/>
    <n v="0"/>
    <n v="0.03"/>
    <n v="0"/>
    <n v="0"/>
    <n v="0"/>
    <n v="0"/>
    <n v="0.1578"/>
    <n v="0.1865"/>
    <n v="-5.16"/>
    <n v="-102.7"/>
    <n v="0.99960000000000004"/>
    <m/>
    <n v="1"/>
    <n v="2.5000000000000001E-3"/>
    <n v="1.7299999999999999E-2"/>
    <n v="0"/>
    <n v="0"/>
    <n v="4"/>
    <n v="1"/>
    <n v="789501600"/>
    <n v="17.0517"/>
    <n v="68.542199999999994"/>
    <n v="369.07619999999997"/>
  </r>
  <r>
    <x v="46"/>
    <s v="2026-03-09 06:00:00"/>
    <s v="1 hour"/>
    <s v="373"/>
    <s v="RNC_ZTE_Messamendongo(373)"/>
    <s v="373"/>
    <s v="RNC_ZTE_Messamendongo(373)"/>
    <s v="10468"/>
    <x v="0"/>
    <n v="100"/>
    <n v="1"/>
    <n v="2.23"/>
    <n v="2.4466999999999999"/>
    <n v="100"/>
    <n v="99.9"/>
    <n v="0.999"/>
    <n v="0.999"/>
    <n v="0"/>
    <n v="0.05"/>
    <n v="0"/>
    <n v="0"/>
    <n v="0"/>
    <n v="0"/>
    <n v="0.2326"/>
    <n v="9.4299999999999995E-2"/>
    <n v="-6.87"/>
    <n v="-101.42"/>
    <n v="0.99939999999999996"/>
    <m/>
    <n v="1"/>
    <n v="1.9E-3"/>
    <n v="1.89E-2"/>
    <n v="0"/>
    <n v="0"/>
    <n v="15"/>
    <n v="0.99990000000000001"/>
    <n v="789501600"/>
    <n v="16.89"/>
    <n v="113.99769999999999"/>
    <n v="561.62789999999995"/>
  </r>
  <r>
    <x v="46"/>
    <s v="2026-03-09 06:00:00"/>
    <s v="1 hour"/>
    <s v="373"/>
    <s v="RNC_ZTE_Messamendongo(373)"/>
    <s v="373"/>
    <s v="RNC_ZTE_Messamendongo(373)"/>
    <s v="10599"/>
    <x v="1"/>
    <n v="100"/>
    <n v="1"/>
    <n v="1.82"/>
    <n v="1.1276999999999999"/>
    <n v="100"/>
    <n v="99.78"/>
    <n v="0.99780000000000002"/>
    <n v="0.99780000000000002"/>
    <n v="0"/>
    <n v="0.16"/>
    <n v="0"/>
    <n v="0"/>
    <n v="0"/>
    <n v="0"/>
    <n v="0.1249"/>
    <n v="6.9199999999999998E-2"/>
    <n v="-5.98"/>
    <n v="-102.91"/>
    <n v="0.999"/>
    <m/>
    <n v="1"/>
    <n v="3.5999999999999999E-3"/>
    <n v="1.8200000000000001E-2"/>
    <n v="0"/>
    <n v="0"/>
    <n v="6"/>
    <n v="0.99980000000000002"/>
    <n v="789501600"/>
    <n v="13.0017"/>
    <n v="45.393500000000003"/>
    <n v="264.85840000000002"/>
  </r>
  <r>
    <x v="46"/>
    <s v="2026-03-09 06:00:00"/>
    <s v="1 hour"/>
    <s v="373"/>
    <s v="RNC_ZTE_Messamendongo(373)"/>
    <s v="373"/>
    <s v="RNC_ZTE_Messamendongo(373)"/>
    <s v="10900"/>
    <x v="2"/>
    <n v="100"/>
    <n v="1"/>
    <n v="1.75"/>
    <n v="2.7503000000000002"/>
    <n v="100"/>
    <n v="99.850000000000009"/>
    <n v="0.99850000000000005"/>
    <n v="0.99850000000000005"/>
    <n v="0"/>
    <n v="0.04"/>
    <n v="0"/>
    <n v="0"/>
    <n v="0"/>
    <n v="0"/>
    <n v="0.23669999999999999"/>
    <n v="0.1145"/>
    <n v="-5.89"/>
    <n v="-100.59"/>
    <n v="0.99970000000000003"/>
    <m/>
    <n v="1"/>
    <n v="2.3E-3"/>
    <n v="1.1900000000000001E-2"/>
    <n v="0"/>
    <n v="0"/>
    <n v="6"/>
    <n v="1"/>
    <n v="789501600"/>
    <n v="20.706700000000001"/>
    <n v="126.20529999999999"/>
    <n v="642.23530000000005"/>
  </r>
  <r>
    <x v="46"/>
    <s v="2026-03-09 06:00:00"/>
    <s v="1 hour"/>
    <s v="374"/>
    <s v="RNC_ZTE_Mvogada_new(374)"/>
    <s v="374"/>
    <s v="RNC_ZTE_Mvogada_new(374)"/>
    <s v="10269"/>
    <x v="3"/>
    <n v="100"/>
    <n v="1"/>
    <n v="5.8"/>
    <n v="2.6307"/>
    <n v="100"/>
    <n v="99.82"/>
    <n v="0.99819999999999998"/>
    <n v="0.99819999999999998"/>
    <n v="0"/>
    <n v="0.05"/>
    <n v="0"/>
    <n v="0"/>
    <n v="0"/>
    <n v="0"/>
    <n v="0.26579999999999998"/>
    <n v="0.33079999999999998"/>
    <n v="-8.92"/>
    <n v="-96.37"/>
    <n v="0.99950000000000006"/>
    <n v="100"/>
    <n v="1"/>
    <n v="6.4000000000000003E-3"/>
    <n v="3.9100000000000003E-2"/>
    <n v="0"/>
    <n v="0"/>
    <n v="26"/>
    <n v="1"/>
    <n v="789501600"/>
    <n v="34.736699999999999"/>
    <n v="139.7097"/>
    <n v="597.00440000000003"/>
  </r>
  <r>
    <x v="46"/>
    <s v="2026-03-09 06:00:00"/>
    <s v="1 hour"/>
    <s v="374"/>
    <s v="RNC_ZTE_Mvogada_new(374)"/>
    <s v="374"/>
    <s v="RNC_ZTE_Mvogada_new(374)"/>
    <s v="10535"/>
    <x v="4"/>
    <n v="100"/>
    <n v="1"/>
    <n v="5.19"/>
    <n v="1.8562000000000001"/>
    <n v="100"/>
    <n v="99.9"/>
    <n v="0.999"/>
    <n v="0.99909999999999999"/>
    <n v="0"/>
    <n v="0.05"/>
    <n v="0"/>
    <n v="0"/>
    <n v="0"/>
    <n v="0"/>
    <n v="0.24940000000000001"/>
    <n v="0.2205"/>
    <n v="-7.22"/>
    <n v="-100.72"/>
    <n v="0.99960000000000004"/>
    <m/>
    <n v="1"/>
    <n v="5.7000000000000002E-3"/>
    <n v="2.8299999999999999E-2"/>
    <n v="0"/>
    <n v="0"/>
    <n v="18"/>
    <n v="1"/>
    <n v="789501600"/>
    <n v="22.656700000000001"/>
    <n v="95.224199999999996"/>
    <n v="427.13350000000003"/>
  </r>
  <r>
    <x v="46"/>
    <s v="2026-03-09 06:00:00"/>
    <s v="1 hour"/>
    <s v="374"/>
    <s v="RNC_ZTE_Mvogada_new(374)"/>
    <s v="374"/>
    <s v="RNC_ZTE_Mvogada_new(374)"/>
    <s v="1057"/>
    <x v="5"/>
    <n v="100"/>
    <n v="1"/>
    <n v="4.8499999999999996"/>
    <n v="1.4388000000000001"/>
    <n v="100"/>
    <n v="99.850000000000009"/>
    <n v="0.99850000000000005"/>
    <n v="0.99860000000000004"/>
    <n v="0"/>
    <n v="0.03"/>
    <n v="0"/>
    <n v="0"/>
    <n v="0"/>
    <n v="0"/>
    <n v="0.19950000000000001"/>
    <n v="0.214"/>
    <n v="-5.77"/>
    <n v="-99.42"/>
    <n v="0.99990000000000001"/>
    <m/>
    <n v="1"/>
    <n v="2.5999999999999999E-3"/>
    <n v="1.7399999999999999E-2"/>
    <n v="0"/>
    <n v="0"/>
    <n v="6"/>
    <n v="1"/>
    <n v="789501600"/>
    <n v="17.5867"/>
    <n v="90.568299999999994"/>
    <n v="311.09649999999999"/>
  </r>
  <r>
    <x v="46"/>
    <s v="2026-03-09 06:00:00"/>
    <s v="1 hour"/>
    <s v="374"/>
    <s v="RNC_ZTE_Mvogada_new(374)"/>
    <s v="374"/>
    <s v="RNC_ZTE_Mvogada_new(374)"/>
    <s v="10726"/>
    <x v="6"/>
    <n v="100"/>
    <n v="1"/>
    <n v="2.74"/>
    <n v="1.5353000000000001"/>
    <n v="100"/>
    <n v="99.92"/>
    <n v="0.99919999999999998"/>
    <n v="0.99919999999999998"/>
    <n v="0"/>
    <n v="0.04"/>
    <n v="0"/>
    <n v="0"/>
    <n v="0"/>
    <n v="0"/>
    <n v="0.1888"/>
    <n v="0.20619999999999999"/>
    <n v="-5.64"/>
    <n v="-102.49"/>
    <n v="1"/>
    <m/>
    <n v="1"/>
    <n v="2.5000000000000001E-3"/>
    <n v="1.6899999999999998E-2"/>
    <n v="0"/>
    <n v="0"/>
    <n v="22"/>
    <n v="1"/>
    <n v="789501600"/>
    <n v="19.598299999999998"/>
    <n v="70.624600000000001"/>
    <n v="357.00720000000001"/>
  </r>
  <r>
    <x v="47"/>
    <s v="2026-03-09 07:00:00"/>
    <s v="1 hour"/>
    <s v="373"/>
    <s v="RNC_ZTE_Messamendongo(373)"/>
    <s v="373"/>
    <s v="RNC_ZTE_Messamendongo(373)"/>
    <s v="10468"/>
    <x v="0"/>
    <n v="100"/>
    <n v="1"/>
    <n v="10.68"/>
    <n v="2.1013000000000002"/>
    <n v="99.88"/>
    <n v="99.91"/>
    <n v="0.99909999999999999"/>
    <n v="0.99909999999999999"/>
    <n v="0"/>
    <n v="0.08"/>
    <n v="0"/>
    <n v="0"/>
    <n v="0"/>
    <n v="0"/>
    <n v="0.26939999999999997"/>
    <n v="0.12089999999999999"/>
    <n v="-7.81"/>
    <n v="-100.28"/>
    <n v="0.99929999999999997"/>
    <m/>
    <n v="1"/>
    <n v="3.3999999999999998E-3"/>
    <n v="4.5100000000000001E-2"/>
    <n v="0"/>
    <n v="0"/>
    <n v="19"/>
    <n v="0.99980000000000002"/>
    <n v="789501600"/>
    <n v="24.004999999999999"/>
    <n v="119.3592"/>
    <n v="452.22289999999998"/>
  </r>
  <r>
    <x v="47"/>
    <s v="2026-03-09 07:00:00"/>
    <s v="1 hour"/>
    <s v="373"/>
    <s v="RNC_ZTE_Messamendongo(373)"/>
    <s v="373"/>
    <s v="RNC_ZTE_Messamendongo(373)"/>
    <s v="10599"/>
    <x v="1"/>
    <n v="100"/>
    <n v="1"/>
    <n v="8.75"/>
    <n v="2.0030999999999999"/>
    <n v="98.79"/>
    <n v="99.86"/>
    <n v="0.99839999999999995"/>
    <n v="0.99839999999999995"/>
    <n v="0"/>
    <n v="0.05"/>
    <n v="0"/>
    <n v="0"/>
    <n v="0"/>
    <n v="0"/>
    <n v="0.22420000000000001"/>
    <n v="8.4099999999999994E-2"/>
    <n v="-8"/>
    <n v="-101.52"/>
    <n v="0.999"/>
    <m/>
    <n v="1"/>
    <n v="3.7000000000000002E-3"/>
    <n v="3.9E-2"/>
    <n v="0"/>
    <n v="0"/>
    <n v="31"/>
    <n v="1"/>
    <n v="789501600"/>
    <n v="17.688400000000001"/>
    <n v="85.295299999999997"/>
    <n v="474.16559999999998"/>
  </r>
  <r>
    <x v="47"/>
    <s v="2026-03-09 07:00:00"/>
    <s v="1 hour"/>
    <s v="373"/>
    <s v="RNC_ZTE_Messamendongo(373)"/>
    <s v="373"/>
    <s v="RNC_ZTE_Messamendongo(373)"/>
    <s v="10900"/>
    <x v="2"/>
    <n v="100"/>
    <n v="1"/>
    <n v="11.07"/>
    <n v="3.3357999999999999"/>
    <n v="99.37"/>
    <n v="99.92"/>
    <n v="0.99919999999999998"/>
    <n v="0.99919999999999998"/>
    <n v="0"/>
    <n v="0.06"/>
    <n v="0"/>
    <n v="0"/>
    <n v="0"/>
    <n v="0"/>
    <n v="0.371"/>
    <n v="0.13550000000000001"/>
    <n v="-7.64"/>
    <n v="-99.75"/>
    <n v="0.99960000000000004"/>
    <n v="100"/>
    <n v="0.85709999999999997"/>
    <n v="3.7000000000000002E-3"/>
    <n v="3.39E-2"/>
    <n v="0"/>
    <n v="0"/>
    <n v="17"/>
    <n v="1"/>
    <n v="789501600"/>
    <n v="25.541699999999999"/>
    <n v="200.40440000000001"/>
    <n v="721.66459999999995"/>
  </r>
  <r>
    <x v="47"/>
    <s v="2026-03-09 07:00:00"/>
    <s v="1 hour"/>
    <s v="374"/>
    <s v="RNC_ZTE_Mvogada_new(374)"/>
    <s v="374"/>
    <s v="RNC_ZTE_Mvogada_new(374)"/>
    <s v="10269"/>
    <x v="3"/>
    <n v="100"/>
    <n v="1"/>
    <n v="26.39"/>
    <n v="4.7084999999999999"/>
    <n v="99.8"/>
    <n v="99.92"/>
    <n v="0.99919999999999998"/>
    <n v="0.99919999999999998"/>
    <n v="0"/>
    <n v="0.04"/>
    <n v="0"/>
    <n v="0"/>
    <n v="0"/>
    <n v="0"/>
    <n v="0.43519999999999998"/>
    <n v="0.36309999999999998"/>
    <n v="-10.64"/>
    <n v="-94.78"/>
    <n v="0.99970000000000003"/>
    <n v="100"/>
    <n v="1"/>
    <n v="6.3E-3"/>
    <n v="5.3600000000000002E-2"/>
    <n v="0"/>
    <n v="0"/>
    <n v="40"/>
    <n v="0.99990000000000001"/>
    <n v="789501600"/>
    <n v="46.568300000000001"/>
    <n v="500.54809999999998"/>
    <n v="806.48979999999995"/>
  </r>
  <r>
    <x v="47"/>
    <s v="2026-03-09 07:00:00"/>
    <s v="1 hour"/>
    <s v="374"/>
    <s v="RNC_ZTE_Mvogada_new(374)"/>
    <s v="374"/>
    <s v="RNC_ZTE_Mvogada_new(374)"/>
    <s v="10535"/>
    <x v="4"/>
    <n v="100"/>
    <n v="1"/>
    <n v="13.94"/>
    <n v="2.3990999999999998"/>
    <n v="99.81"/>
    <n v="99.88"/>
    <n v="0.99880000000000002"/>
    <n v="0.99880000000000002"/>
    <n v="0"/>
    <n v="0.02"/>
    <n v="0"/>
    <n v="0"/>
    <n v="0"/>
    <n v="0"/>
    <n v="0.37440000000000001"/>
    <n v="0.25840000000000002"/>
    <n v="-8.91"/>
    <n v="-100.25"/>
    <n v="0.99950000000000006"/>
    <m/>
    <n v="1"/>
    <n v="5.7999999999999996E-3"/>
    <n v="4.2700000000000002E-2"/>
    <n v="0"/>
    <n v="0"/>
    <n v="24"/>
    <n v="1"/>
    <n v="789501600"/>
    <n v="29.34"/>
    <n v="148.25720000000001"/>
    <n v="518.90710000000001"/>
  </r>
  <r>
    <x v="47"/>
    <s v="2026-03-09 07:00:00"/>
    <s v="1 hour"/>
    <s v="374"/>
    <s v="RNC_ZTE_Mvogada_new(374)"/>
    <s v="374"/>
    <s v="RNC_ZTE_Mvogada_new(374)"/>
    <s v="1057"/>
    <x v="5"/>
    <n v="100"/>
    <n v="1"/>
    <n v="15.66"/>
    <n v="2.9533999999999998"/>
    <n v="99.839999999999989"/>
    <n v="99.83"/>
    <n v="0.99829999999999997"/>
    <n v="0.99839999999999995"/>
    <n v="0.08"/>
    <n v="0.06"/>
    <n v="0"/>
    <n v="0"/>
    <n v="0"/>
    <n v="0"/>
    <n v="0.3609"/>
    <n v="0.20830000000000001"/>
    <n v="-7.82"/>
    <n v="-98.16"/>
    <n v="0.99929999999999997"/>
    <m/>
    <n v="0.85"/>
    <n v="4.3E-3"/>
    <n v="3.2800000000000003E-2"/>
    <n v="0"/>
    <n v="0"/>
    <n v="26"/>
    <n v="1"/>
    <n v="789501600"/>
    <n v="22.305"/>
    <n v="161.52860000000001"/>
    <n v="635.02250000000004"/>
  </r>
  <r>
    <x v="47"/>
    <s v="2026-03-09 07:00:00"/>
    <s v="1 hour"/>
    <s v="374"/>
    <s v="RNC_ZTE_Mvogada_new(374)"/>
    <s v="374"/>
    <s v="RNC_ZTE_Mvogada_new(374)"/>
    <s v="10726"/>
    <x v="6"/>
    <n v="100"/>
    <n v="1"/>
    <n v="13.23"/>
    <n v="3.2452000000000001"/>
    <n v="99.7"/>
    <n v="99.88"/>
    <n v="0.99880000000000002"/>
    <n v="0.99880000000000002"/>
    <n v="0"/>
    <n v="0.09"/>
    <n v="0"/>
    <n v="0"/>
    <n v="0"/>
    <n v="0"/>
    <n v="0.32440000000000002"/>
    <n v="0.23649999999999999"/>
    <n v="-8.18"/>
    <n v="-101.4"/>
    <n v="0.99980000000000002"/>
    <m/>
    <n v="1"/>
    <n v="4.1999999999999997E-3"/>
    <n v="4.8399999999999999E-2"/>
    <n v="0"/>
    <n v="0"/>
    <n v="29"/>
    <n v="0.99990000000000001"/>
    <n v="789501600"/>
    <n v="28.058299999999999"/>
    <n v="175.09"/>
    <n v="705.77210000000002"/>
  </r>
  <r>
    <x v="48"/>
    <s v="2026-03-09 08:00:00"/>
    <s v="1 hour"/>
    <s v="373"/>
    <s v="RNC_ZTE_Messamendongo(373)"/>
    <s v="373"/>
    <s v="RNC_ZTE_Messamendongo(373)"/>
    <s v="10468"/>
    <x v="0"/>
    <n v="100"/>
    <n v="1"/>
    <n v="26.41"/>
    <n v="2.6644999999999999"/>
    <n v="99.74"/>
    <n v="99.9"/>
    <n v="0.999"/>
    <n v="0.999"/>
    <n v="0"/>
    <n v="6.9999999999999993E-2"/>
    <n v="0"/>
    <n v="0"/>
    <n v="0"/>
    <n v="0"/>
    <n v="0.37040000000000001"/>
    <n v="0.158"/>
    <n v="-9.51"/>
    <n v="-99"/>
    <n v="0.99939999999999996"/>
    <n v="100"/>
    <n v="0.66669999999999996"/>
    <n v="3.8E-3"/>
    <n v="5.0099999999999999E-2"/>
    <n v="0"/>
    <n v="0"/>
    <n v="35"/>
    <n v="0.99990000000000001"/>
    <n v="789501600"/>
    <n v="29.453399999999998"/>
    <n v="134.47479999999999"/>
    <n v="592.26649999999995"/>
  </r>
  <r>
    <x v="48"/>
    <s v="2026-03-09 08:00:00"/>
    <s v="1 hour"/>
    <s v="373"/>
    <s v="RNC_ZTE_Messamendongo(373)"/>
    <s v="373"/>
    <s v="RNC_ZTE_Messamendongo(373)"/>
    <s v="10599"/>
    <x v="1"/>
    <n v="100"/>
    <n v="1"/>
    <n v="20.41"/>
    <n v="2.1901000000000002"/>
    <n v="99.65"/>
    <n v="99.8"/>
    <n v="0.998"/>
    <n v="0.99809999999999999"/>
    <n v="0.09"/>
    <n v="6.9999999999999993E-2"/>
    <n v="0"/>
    <n v="0"/>
    <n v="0"/>
    <n v="0"/>
    <n v="0.29520000000000002"/>
    <n v="9.9599999999999994E-2"/>
    <n v="-8.73"/>
    <n v="-99.93"/>
    <n v="0.99960000000000004"/>
    <m/>
    <n v="1"/>
    <n v="4.1000000000000003E-3"/>
    <n v="4.7600000000000003E-2"/>
    <n v="0"/>
    <n v="0"/>
    <n v="40"/>
    <n v="1"/>
    <n v="789501600"/>
    <n v="19.913399999999999"/>
    <n v="91.442400000000006"/>
    <n v="508.64929999999998"/>
  </r>
  <r>
    <x v="48"/>
    <s v="2026-03-09 08:00:00"/>
    <s v="1 hour"/>
    <s v="373"/>
    <s v="RNC_ZTE_Messamendongo(373)"/>
    <s v="373"/>
    <s v="RNC_ZTE_Messamendongo(373)"/>
    <s v="10900"/>
    <x v="2"/>
    <n v="100"/>
    <n v="1"/>
    <n v="25.57"/>
    <n v="2.7942999999999998"/>
    <n v="99.58"/>
    <n v="99.81"/>
    <n v="0.99809999999999999"/>
    <n v="0.99809999999999999"/>
    <n v="0"/>
    <n v="6.9999999999999993E-2"/>
    <n v="0"/>
    <n v="0"/>
    <n v="0"/>
    <n v="0"/>
    <n v="0.4264"/>
    <n v="0.15110000000000001"/>
    <n v="-8.49"/>
    <n v="-99.05"/>
    <n v="0.99970000000000003"/>
    <n v="85"/>
    <n v="0.97560000000000002"/>
    <n v="4.5999999999999999E-3"/>
    <n v="5.1200000000000002E-2"/>
    <n v="0"/>
    <n v="0"/>
    <n v="32"/>
    <n v="0.99970000000000003"/>
    <n v="789501600"/>
    <n v="25.543399999999998"/>
    <n v="125.5939"/>
    <n v="637.71450000000004"/>
  </r>
  <r>
    <x v="48"/>
    <s v="2026-03-09 08:00:00"/>
    <s v="1 hour"/>
    <s v="374"/>
    <s v="RNC_ZTE_Mvogada_new(374)"/>
    <s v="374"/>
    <s v="RNC_ZTE_Mvogada_new(374)"/>
    <s v="10269"/>
    <x v="3"/>
    <n v="100"/>
    <n v="1"/>
    <n v="53.04"/>
    <n v="4.8193000000000001"/>
    <n v="99.74"/>
    <n v="99.74"/>
    <n v="0.99739999999999995"/>
    <n v="0.99739999999999995"/>
    <n v="0.06"/>
    <n v="0.12"/>
    <n v="0"/>
    <n v="0"/>
    <n v="0"/>
    <n v="0"/>
    <n v="0.59919999999999995"/>
    <n v="0.42670000000000002"/>
    <n v="-11.85"/>
    <n v="-93.71"/>
    <n v="0.99950000000000006"/>
    <n v="75"/>
    <n v="1"/>
    <n v="6.7999999999999996E-3"/>
    <n v="7.9299999999999995E-2"/>
    <n v="0"/>
    <n v="0"/>
    <n v="100"/>
    <n v="0.99990000000000001"/>
    <n v="789501600"/>
    <n v="59.488300000000002"/>
    <n v="372.26670000000001"/>
    <n v="954.27750000000003"/>
  </r>
  <r>
    <x v="48"/>
    <s v="2026-03-09 08:00:00"/>
    <s v="1 hour"/>
    <s v="374"/>
    <s v="RNC_ZTE_Mvogada_new(374)"/>
    <s v="374"/>
    <s v="RNC_ZTE_Mvogada_new(374)"/>
    <s v="10535"/>
    <x v="4"/>
    <n v="100"/>
    <n v="1"/>
    <n v="33.14"/>
    <n v="2.9903"/>
    <n v="99.67"/>
    <n v="99.83"/>
    <n v="0.99829999999999997"/>
    <n v="0.99829999999999997"/>
    <n v="0"/>
    <n v="0.08"/>
    <n v="0"/>
    <n v="0"/>
    <n v="0"/>
    <n v="0"/>
    <n v="0.48859999999999998"/>
    <n v="0.22239999999999999"/>
    <n v="-9.94"/>
    <n v="-99.16"/>
    <n v="0.99950000000000006"/>
    <m/>
    <n v="0"/>
    <n v="5.0000000000000001E-3"/>
    <n v="4.7199999999999999E-2"/>
    <n v="0"/>
    <n v="0"/>
    <n v="38"/>
    <n v="1"/>
    <n v="789501600"/>
    <n v="28.740100000000002"/>
    <n v="158.05099999999999"/>
    <n v="659.69060000000002"/>
  </r>
  <r>
    <x v="48"/>
    <s v="2026-03-09 08:00:00"/>
    <s v="1 hour"/>
    <s v="374"/>
    <s v="RNC_ZTE_Mvogada_new(374)"/>
    <s v="374"/>
    <s v="RNC_ZTE_Mvogada_new(374)"/>
    <s v="1057"/>
    <x v="5"/>
    <n v="100"/>
    <n v="1"/>
    <n v="39.75"/>
    <n v="3.3734999999999999"/>
    <n v="99.75"/>
    <n v="99.78"/>
    <n v="0.99780000000000002"/>
    <n v="0.99780000000000002"/>
    <n v="6.9999999999999993E-2"/>
    <n v="6.9999999999999993E-2"/>
    <n v="0"/>
    <n v="0"/>
    <n v="0"/>
    <n v="0"/>
    <n v="0.48499999999999999"/>
    <n v="0.31730000000000003"/>
    <n v="-9.14"/>
    <n v="-96.69"/>
    <n v="0.99929999999999997"/>
    <m/>
    <n v="0.85709999999999997"/>
    <n v="4.4000000000000003E-3"/>
    <n v="4.9000000000000002E-2"/>
    <n v="0"/>
    <n v="0"/>
    <n v="37"/>
    <n v="1"/>
    <n v="789501600"/>
    <n v="29.121700000000001"/>
    <n v="159.18530000000001"/>
    <n v="755.74890000000005"/>
  </r>
  <r>
    <x v="48"/>
    <s v="2026-03-09 08:00:00"/>
    <s v="1 hour"/>
    <s v="374"/>
    <s v="RNC_ZTE_Mvogada_new(374)"/>
    <s v="374"/>
    <s v="RNC_ZTE_Mvogada_new(374)"/>
    <s v="10726"/>
    <x v="6"/>
    <n v="100"/>
    <n v="1"/>
    <n v="30.13"/>
    <n v="4.5796999999999999"/>
    <n v="99.74"/>
    <n v="99.91"/>
    <n v="0.99909999999999999"/>
    <n v="0.999"/>
    <n v="0.06"/>
    <n v="0.06"/>
    <n v="0"/>
    <n v="0"/>
    <n v="0"/>
    <n v="0"/>
    <n v="0.50329999999999997"/>
    <n v="0.33210000000000001"/>
    <n v="-9.6"/>
    <n v="-100.17"/>
    <n v="0.99980000000000002"/>
    <m/>
    <n v="1"/>
    <n v="5.3E-3"/>
    <n v="6.8000000000000005E-2"/>
    <n v="0"/>
    <n v="0"/>
    <n v="45"/>
    <n v="1"/>
    <n v="789501600"/>
    <n v="33.898299999999999"/>
    <n v="179.17750000000001"/>
    <n v="1078.6815999999999"/>
  </r>
  <r>
    <x v="49"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m/>
    <m/>
    <x v="7"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</r>
  <r>
    <x v="49"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D693C-2DD4-4EF8-B961-6332DC06D8A2}" name="PivotTable1" cacheId="32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K60" firstHeaderRow="1" firstDataRow="2" firstDataCol="1"/>
  <pivotFields count="40">
    <pivotField axis="axisCol" showAll="0">
      <items count="5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x="39"/>
        <item x="40"/>
        <item x="41"/>
        <item x="42"/>
        <item x="43"/>
        <item x="44"/>
        <item x="45"/>
        <item x="46"/>
        <item x="47"/>
        <item x="48"/>
        <item h="1"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3"/>
        <item x="0"/>
        <item x="4"/>
        <item x="1"/>
        <item x="6"/>
        <item x="2"/>
        <item x="7"/>
        <item t="default"/>
      </items>
    </pivotField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-2"/>
  </rowFields>
  <rowItems count="56">
    <i>
      <x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2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3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4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6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</rowItems>
  <colFields count="1">
    <field x="0"/>
  </colFields>
  <colItems count="10"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</colItems>
  <dataFields count="7">
    <dataField name="Average of Avaibility" fld="9" subtotal="average" baseField="8" baseItem="0"/>
    <dataField name="Average of ORA_3G_CSSR CS with Cell PCH/URA PCH (%)" fld="13" subtotal="average" baseField="8" baseItem="0"/>
    <dataField name="Average of ORA_3G_CSSR_PS_with_Cell_PCH (%)" fld="14" subtotal="average" baseField="8" baseItem="0"/>
    <dataField name="Average of ORA_3G_Drop Call Rate CS(%)" fld="17" subtotal="average" baseField="8" baseItem="0"/>
    <dataField name="Average of ORA_3G_Call Drop Data All Services(%)" fld="18" subtotal="average" baseField="8" baseItem="0"/>
    <dataField name="Sum of ORA_3G_CS Voice Traffic (Erl)" fld="11" baseField="0" baseItem="0"/>
    <dataField name="Sum of ORA_3G_Traffic Total Data_MAC (GB)" fld="12" baseField="0" baseItem="0"/>
  </dataFields>
  <conditionalFormats count="6">
    <conditionalFormat priority="13">
      <pivotAreas count="1">
        <pivotArea type="data" collapsedLevelsAreSubtotals="1" fieldPosition="0">
          <references count="3">
            <reference field="4294967294" count="3">
              <x v="0"/>
              <x v="1"/>
              <x v="2"/>
            </reference>
            <reference field="0" count="1" selected="0">
              <x v="39"/>
            </reference>
            <reference field="8" count="1" selected="0">
              <x v="0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>
              <x v="2"/>
            </reference>
            <reference field="0" count="1" selected="0">
              <x v="39"/>
            </reference>
            <reference field="8" count="1" selected="0">
              <x v="0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2">
              <x v="3"/>
              <x v="4"/>
            </reference>
            <reference field="0" count="1" selected="0">
              <x v="39"/>
            </reference>
            <reference field="8" count="1" selected="0">
              <x v="0"/>
            </reference>
          </references>
        </pivotArea>
      </pivotAreas>
    </conditionalFormat>
    <conditionalFormat priority="6">
      <pivotAreas count="6">
        <pivotArea type="data" collapsedLevelsAreSubtotals="1" fieldPosition="0">
          <references count="2">
            <reference field="4294967294" count="3">
              <x v="0"/>
              <x v="1"/>
              <x v="2"/>
            </reference>
            <reference field="8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3">
              <x v="0"/>
              <x v="1"/>
              <x v="2"/>
            </reference>
            <reference field="8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3">
              <x v="0"/>
              <x v="1"/>
              <x v="2"/>
            </reference>
            <reference field="8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3">
              <x v="0"/>
              <x v="1"/>
              <x v="2"/>
            </reference>
            <reference field="8" count="1" selected="0">
              <x v="4"/>
            </reference>
          </references>
        </pivotArea>
        <pivotArea type="data" collapsedLevelsAreSubtotals="1" fieldPosition="0">
          <references count="2">
            <reference field="4294967294" count="3">
              <x v="0"/>
              <x v="1"/>
              <x v="2"/>
            </reference>
            <reference field="8" count="1" selected="0">
              <x v="5"/>
            </reference>
          </references>
        </pivotArea>
        <pivotArea type="data" collapsedLevelsAreSubtotals="1" fieldPosition="0">
          <references count="2">
            <reference field="4294967294" count="3">
              <x v="0"/>
              <x v="1"/>
              <x v="2"/>
            </reference>
            <reference field="8" count="1" selected="0">
              <x v="6"/>
            </reference>
          </references>
        </pivotArea>
      </pivotAreas>
    </conditionalFormat>
    <conditionalFormat priority="3">
      <pivotAreas count="6">
        <pivotArea type="data" collapsedLevelsAreSubtotals="1" fieldPosition="0">
          <references count="2">
            <reference field="4294967294" count="1">
              <x v="2"/>
            </reference>
            <reference field="8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>
              <x v="2"/>
            </reference>
            <reference field="8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>
              <x v="2"/>
            </reference>
            <reference field="8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>
              <x v="2"/>
            </reference>
            <reference field="8" count="1" selected="0">
              <x v="4"/>
            </reference>
          </references>
        </pivotArea>
        <pivotArea type="data" collapsedLevelsAreSubtotals="1" fieldPosition="0">
          <references count="2">
            <reference field="4294967294" count="1">
              <x v="2"/>
            </reference>
            <reference field="8" count="1" selected="0">
              <x v="5"/>
            </reference>
          </references>
        </pivotArea>
        <pivotArea type="data" collapsedLevelsAreSubtotals="1" fieldPosition="0">
          <references count="2">
            <reference field="4294967294" count="1">
              <x v="2"/>
            </reference>
            <reference field="8" count="1" selected="0">
              <x v="6"/>
            </reference>
          </references>
        </pivotArea>
      </pivotAreas>
    </conditionalFormat>
    <conditionalFormat priority="1">
      <pivotAreas count="6">
        <pivotArea type="data" collapsedLevelsAreSubtotals="1" fieldPosition="0">
          <references count="2">
            <reference field="4294967294" count="2">
              <x v="3"/>
              <x v="4"/>
            </reference>
            <reference field="8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2">
              <x v="3"/>
              <x v="4"/>
            </reference>
            <reference field="8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2">
              <x v="3"/>
              <x v="4"/>
            </reference>
            <reference field="8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2">
              <x v="3"/>
              <x v="4"/>
            </reference>
            <reference field="8" count="1" selected="0">
              <x v="4"/>
            </reference>
          </references>
        </pivotArea>
        <pivotArea type="data" collapsedLevelsAreSubtotals="1" fieldPosition="0">
          <references count="2">
            <reference field="4294967294" count="2">
              <x v="3"/>
              <x v="4"/>
            </reference>
            <reference field="8" count="1" selected="0">
              <x v="5"/>
            </reference>
          </references>
        </pivotArea>
        <pivotArea type="data" collapsedLevelsAreSubtotals="1" fieldPosition="0">
          <references count="2">
            <reference field="4294967294" count="2">
              <x v="3"/>
              <x v="4"/>
            </reference>
            <reference field="8" count="1" selected="0"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0C20-7CD3-4473-81CE-940256CAF6A3}">
  <dimension ref="A3:K60"/>
  <sheetViews>
    <sheetView tabSelected="1" topLeftCell="A35" workbookViewId="0">
      <selection activeCell="C51" sqref="C51"/>
    </sheetView>
  </sheetViews>
  <sheetFormatPr defaultRowHeight="14.5" x14ac:dyDescent="0.35"/>
  <cols>
    <col min="1" max="1" width="50.7265625" bestFit="1" customWidth="1"/>
    <col min="2" max="50" width="17.7265625" bestFit="1" customWidth="1"/>
    <col min="51" max="51" width="6.81640625" bestFit="1" customWidth="1"/>
    <col min="52" max="52" width="11.81640625" bestFit="1" customWidth="1"/>
    <col min="53" max="53" width="39" bestFit="1" customWidth="1"/>
    <col min="54" max="54" width="31.81640625" bestFit="1" customWidth="1"/>
    <col min="55" max="55" width="37.81640625" bestFit="1" customWidth="1"/>
    <col min="56" max="56" width="32.36328125" bestFit="1" customWidth="1"/>
    <col min="57" max="57" width="39.90625" bestFit="1" customWidth="1"/>
    <col min="58" max="58" width="44.1796875" bestFit="1" customWidth="1"/>
    <col min="59" max="59" width="45.81640625" bestFit="1" customWidth="1"/>
    <col min="60" max="60" width="39" bestFit="1" customWidth="1"/>
    <col min="61" max="61" width="31.81640625" bestFit="1" customWidth="1"/>
    <col min="62" max="62" width="37.81640625" bestFit="1" customWidth="1"/>
    <col min="63" max="63" width="32.36328125" bestFit="1" customWidth="1"/>
    <col min="64" max="64" width="39.90625" bestFit="1" customWidth="1"/>
    <col min="65" max="65" width="44.1796875" bestFit="1" customWidth="1"/>
    <col min="66" max="66" width="45.81640625" bestFit="1" customWidth="1"/>
    <col min="67" max="67" width="39" bestFit="1" customWidth="1"/>
    <col min="68" max="68" width="31.81640625" bestFit="1" customWidth="1"/>
    <col min="69" max="69" width="37.81640625" bestFit="1" customWidth="1"/>
    <col min="70" max="70" width="32.36328125" bestFit="1" customWidth="1"/>
    <col min="71" max="71" width="39.90625" bestFit="1" customWidth="1"/>
    <col min="72" max="72" width="44.1796875" bestFit="1" customWidth="1"/>
    <col min="73" max="73" width="45.81640625" bestFit="1" customWidth="1"/>
    <col min="74" max="74" width="39" bestFit="1" customWidth="1"/>
    <col min="75" max="75" width="31.81640625" bestFit="1" customWidth="1"/>
    <col min="76" max="76" width="37.81640625" bestFit="1" customWidth="1"/>
    <col min="77" max="77" width="32.36328125" bestFit="1" customWidth="1"/>
    <col min="78" max="78" width="39.90625" bestFit="1" customWidth="1"/>
    <col min="79" max="79" width="44.1796875" bestFit="1" customWidth="1"/>
    <col min="80" max="80" width="45.81640625" bestFit="1" customWidth="1"/>
    <col min="81" max="81" width="39" bestFit="1" customWidth="1"/>
    <col min="82" max="82" width="31.81640625" bestFit="1" customWidth="1"/>
    <col min="83" max="83" width="37.81640625" bestFit="1" customWidth="1"/>
    <col min="84" max="84" width="32.36328125" bestFit="1" customWidth="1"/>
    <col min="85" max="85" width="39.90625" bestFit="1" customWidth="1"/>
    <col min="86" max="86" width="44.1796875" bestFit="1" customWidth="1"/>
    <col min="87" max="87" width="45.81640625" bestFit="1" customWidth="1"/>
    <col min="88" max="88" width="39" bestFit="1" customWidth="1"/>
    <col min="89" max="89" width="31.81640625" bestFit="1" customWidth="1"/>
    <col min="90" max="90" width="37.81640625" bestFit="1" customWidth="1"/>
    <col min="91" max="91" width="32.36328125" bestFit="1" customWidth="1"/>
    <col min="92" max="92" width="39.90625" bestFit="1" customWidth="1"/>
    <col min="93" max="93" width="44.1796875" bestFit="1" customWidth="1"/>
    <col min="94" max="94" width="45.81640625" bestFit="1" customWidth="1"/>
    <col min="95" max="95" width="39" bestFit="1" customWidth="1"/>
    <col min="96" max="96" width="31.81640625" bestFit="1" customWidth="1"/>
    <col min="97" max="97" width="37.81640625" bestFit="1" customWidth="1"/>
    <col min="98" max="98" width="32.36328125" bestFit="1" customWidth="1"/>
    <col min="99" max="99" width="39.90625" bestFit="1" customWidth="1"/>
    <col min="100" max="100" width="44.1796875" bestFit="1" customWidth="1"/>
    <col min="101" max="101" width="45.81640625" bestFit="1" customWidth="1"/>
    <col min="102" max="102" width="39" bestFit="1" customWidth="1"/>
    <col min="103" max="103" width="31.81640625" bestFit="1" customWidth="1"/>
    <col min="104" max="104" width="37.81640625" bestFit="1" customWidth="1"/>
    <col min="105" max="105" width="32.36328125" bestFit="1" customWidth="1"/>
    <col min="106" max="106" width="39.90625" bestFit="1" customWidth="1"/>
    <col min="107" max="107" width="44.1796875" bestFit="1" customWidth="1"/>
    <col min="108" max="108" width="45.81640625" bestFit="1" customWidth="1"/>
    <col min="109" max="109" width="39" bestFit="1" customWidth="1"/>
    <col min="110" max="110" width="31.81640625" bestFit="1" customWidth="1"/>
    <col min="111" max="111" width="37.81640625" bestFit="1" customWidth="1"/>
    <col min="112" max="112" width="32.36328125" bestFit="1" customWidth="1"/>
    <col min="113" max="113" width="39.90625" bestFit="1" customWidth="1"/>
    <col min="114" max="114" width="44.1796875" bestFit="1" customWidth="1"/>
    <col min="115" max="115" width="45.81640625" bestFit="1" customWidth="1"/>
    <col min="116" max="116" width="39" bestFit="1" customWidth="1"/>
    <col min="117" max="117" width="31.81640625" bestFit="1" customWidth="1"/>
    <col min="118" max="118" width="37.81640625" bestFit="1" customWidth="1"/>
    <col min="119" max="119" width="32.36328125" bestFit="1" customWidth="1"/>
    <col min="120" max="120" width="39.90625" bestFit="1" customWidth="1"/>
    <col min="121" max="121" width="44.1796875" bestFit="1" customWidth="1"/>
    <col min="122" max="122" width="45.81640625" bestFit="1" customWidth="1"/>
    <col min="123" max="123" width="39" bestFit="1" customWidth="1"/>
    <col min="124" max="124" width="31.81640625" bestFit="1" customWidth="1"/>
    <col min="125" max="125" width="37.81640625" bestFit="1" customWidth="1"/>
    <col min="126" max="126" width="32.36328125" bestFit="1" customWidth="1"/>
    <col min="127" max="127" width="39.90625" bestFit="1" customWidth="1"/>
    <col min="128" max="128" width="44.1796875" bestFit="1" customWidth="1"/>
    <col min="129" max="129" width="45.81640625" bestFit="1" customWidth="1"/>
    <col min="130" max="130" width="39" bestFit="1" customWidth="1"/>
    <col min="131" max="131" width="31.81640625" bestFit="1" customWidth="1"/>
    <col min="132" max="132" width="37.81640625" bestFit="1" customWidth="1"/>
    <col min="133" max="133" width="32.36328125" bestFit="1" customWidth="1"/>
    <col min="134" max="134" width="39.90625" bestFit="1" customWidth="1"/>
    <col min="135" max="135" width="44.1796875" bestFit="1" customWidth="1"/>
    <col min="136" max="136" width="45.81640625" bestFit="1" customWidth="1"/>
    <col min="137" max="137" width="39" bestFit="1" customWidth="1"/>
    <col min="138" max="138" width="31.81640625" bestFit="1" customWidth="1"/>
    <col min="139" max="139" width="37.81640625" bestFit="1" customWidth="1"/>
    <col min="140" max="140" width="32.36328125" bestFit="1" customWidth="1"/>
    <col min="141" max="141" width="39.90625" bestFit="1" customWidth="1"/>
    <col min="142" max="142" width="44.1796875" bestFit="1" customWidth="1"/>
    <col min="143" max="143" width="45.81640625" bestFit="1" customWidth="1"/>
    <col min="144" max="144" width="39" bestFit="1" customWidth="1"/>
    <col min="145" max="145" width="31.81640625" bestFit="1" customWidth="1"/>
    <col min="146" max="146" width="37.81640625" bestFit="1" customWidth="1"/>
    <col min="147" max="147" width="32.36328125" bestFit="1" customWidth="1"/>
    <col min="148" max="148" width="39.90625" bestFit="1" customWidth="1"/>
    <col min="149" max="149" width="44.1796875" bestFit="1" customWidth="1"/>
    <col min="150" max="150" width="45.81640625" bestFit="1" customWidth="1"/>
    <col min="151" max="151" width="39" bestFit="1" customWidth="1"/>
    <col min="152" max="152" width="31.81640625" bestFit="1" customWidth="1"/>
    <col min="153" max="153" width="37.81640625" bestFit="1" customWidth="1"/>
    <col min="154" max="154" width="32.36328125" bestFit="1" customWidth="1"/>
    <col min="155" max="155" width="39.90625" bestFit="1" customWidth="1"/>
    <col min="156" max="156" width="44.1796875" bestFit="1" customWidth="1"/>
    <col min="157" max="157" width="45.81640625" bestFit="1" customWidth="1"/>
    <col min="158" max="158" width="39" bestFit="1" customWidth="1"/>
    <col min="159" max="159" width="31.81640625" bestFit="1" customWidth="1"/>
    <col min="160" max="160" width="37.81640625" bestFit="1" customWidth="1"/>
    <col min="161" max="161" width="32.36328125" bestFit="1" customWidth="1"/>
    <col min="162" max="162" width="39.90625" bestFit="1" customWidth="1"/>
    <col min="163" max="163" width="44.1796875" bestFit="1" customWidth="1"/>
    <col min="164" max="164" width="45.81640625" bestFit="1" customWidth="1"/>
    <col min="165" max="165" width="39" bestFit="1" customWidth="1"/>
    <col min="166" max="166" width="31.81640625" bestFit="1" customWidth="1"/>
    <col min="167" max="167" width="37.81640625" bestFit="1" customWidth="1"/>
    <col min="168" max="168" width="32.36328125" bestFit="1" customWidth="1"/>
    <col min="169" max="169" width="39.90625" bestFit="1" customWidth="1"/>
    <col min="170" max="170" width="44.1796875" bestFit="1" customWidth="1"/>
    <col min="171" max="171" width="45.81640625" bestFit="1" customWidth="1"/>
    <col min="172" max="172" width="39" bestFit="1" customWidth="1"/>
    <col min="173" max="173" width="31.81640625" bestFit="1" customWidth="1"/>
    <col min="174" max="174" width="37.81640625" bestFit="1" customWidth="1"/>
    <col min="175" max="175" width="32.36328125" bestFit="1" customWidth="1"/>
    <col min="176" max="176" width="39.90625" bestFit="1" customWidth="1"/>
    <col min="177" max="177" width="44.1796875" bestFit="1" customWidth="1"/>
    <col min="178" max="178" width="45.81640625" bestFit="1" customWidth="1"/>
    <col min="179" max="179" width="39" bestFit="1" customWidth="1"/>
    <col min="180" max="180" width="31.81640625" bestFit="1" customWidth="1"/>
    <col min="181" max="181" width="37.81640625" bestFit="1" customWidth="1"/>
    <col min="182" max="182" width="32.36328125" bestFit="1" customWidth="1"/>
    <col min="183" max="183" width="39.90625" bestFit="1" customWidth="1"/>
    <col min="184" max="184" width="44.1796875" bestFit="1" customWidth="1"/>
    <col min="185" max="185" width="45.81640625" bestFit="1" customWidth="1"/>
    <col min="186" max="186" width="39" bestFit="1" customWidth="1"/>
    <col min="187" max="187" width="31.81640625" bestFit="1" customWidth="1"/>
    <col min="188" max="188" width="37.81640625" bestFit="1" customWidth="1"/>
    <col min="189" max="189" width="32.36328125" bestFit="1" customWidth="1"/>
    <col min="190" max="190" width="39.90625" bestFit="1" customWidth="1"/>
    <col min="191" max="191" width="44.1796875" bestFit="1" customWidth="1"/>
    <col min="192" max="192" width="45.81640625" bestFit="1" customWidth="1"/>
    <col min="193" max="193" width="39" bestFit="1" customWidth="1"/>
    <col min="194" max="194" width="31.81640625" bestFit="1" customWidth="1"/>
    <col min="195" max="195" width="37.81640625" bestFit="1" customWidth="1"/>
    <col min="196" max="196" width="32.36328125" bestFit="1" customWidth="1"/>
    <col min="197" max="197" width="39.90625" bestFit="1" customWidth="1"/>
    <col min="198" max="198" width="44.1796875" bestFit="1" customWidth="1"/>
    <col min="199" max="199" width="45.81640625" bestFit="1" customWidth="1"/>
    <col min="200" max="200" width="39" bestFit="1" customWidth="1"/>
    <col min="201" max="201" width="31.81640625" bestFit="1" customWidth="1"/>
    <col min="202" max="202" width="37.81640625" bestFit="1" customWidth="1"/>
    <col min="203" max="203" width="32.36328125" bestFit="1" customWidth="1"/>
    <col min="204" max="204" width="39.90625" bestFit="1" customWidth="1"/>
    <col min="205" max="205" width="44.1796875" bestFit="1" customWidth="1"/>
    <col min="206" max="206" width="45.81640625" bestFit="1" customWidth="1"/>
    <col min="207" max="207" width="39" bestFit="1" customWidth="1"/>
    <col min="208" max="208" width="31.81640625" bestFit="1" customWidth="1"/>
    <col min="209" max="209" width="37.81640625" bestFit="1" customWidth="1"/>
    <col min="210" max="210" width="32.36328125" bestFit="1" customWidth="1"/>
    <col min="211" max="211" width="39.90625" bestFit="1" customWidth="1"/>
    <col min="212" max="212" width="44.1796875" bestFit="1" customWidth="1"/>
    <col min="213" max="213" width="45.81640625" bestFit="1" customWidth="1"/>
    <col min="214" max="214" width="39" bestFit="1" customWidth="1"/>
    <col min="215" max="215" width="31.81640625" bestFit="1" customWidth="1"/>
    <col min="216" max="216" width="37.81640625" bestFit="1" customWidth="1"/>
    <col min="217" max="217" width="32.36328125" bestFit="1" customWidth="1"/>
    <col min="218" max="218" width="39.90625" bestFit="1" customWidth="1"/>
    <col min="219" max="219" width="44.1796875" bestFit="1" customWidth="1"/>
    <col min="220" max="220" width="45.81640625" bestFit="1" customWidth="1"/>
    <col min="221" max="221" width="39" bestFit="1" customWidth="1"/>
    <col min="222" max="222" width="31.81640625" bestFit="1" customWidth="1"/>
    <col min="223" max="223" width="37.81640625" bestFit="1" customWidth="1"/>
    <col min="224" max="224" width="32.36328125" bestFit="1" customWidth="1"/>
    <col min="225" max="225" width="39.90625" bestFit="1" customWidth="1"/>
    <col min="226" max="226" width="44.1796875" bestFit="1" customWidth="1"/>
    <col min="227" max="227" width="45.81640625" bestFit="1" customWidth="1"/>
    <col min="228" max="228" width="39" bestFit="1" customWidth="1"/>
    <col min="229" max="229" width="31.81640625" bestFit="1" customWidth="1"/>
    <col min="230" max="230" width="37.81640625" bestFit="1" customWidth="1"/>
    <col min="231" max="231" width="32.36328125" bestFit="1" customWidth="1"/>
    <col min="232" max="232" width="39.90625" bestFit="1" customWidth="1"/>
    <col min="233" max="233" width="44.1796875" bestFit="1" customWidth="1"/>
    <col min="234" max="234" width="45.81640625" bestFit="1" customWidth="1"/>
    <col min="235" max="235" width="39" bestFit="1" customWidth="1"/>
    <col min="236" max="236" width="31.81640625" bestFit="1" customWidth="1"/>
    <col min="237" max="237" width="37.81640625" bestFit="1" customWidth="1"/>
    <col min="238" max="238" width="32.36328125" bestFit="1" customWidth="1"/>
    <col min="239" max="239" width="39.90625" bestFit="1" customWidth="1"/>
    <col min="240" max="240" width="44.1796875" bestFit="1" customWidth="1"/>
    <col min="241" max="241" width="45.81640625" bestFit="1" customWidth="1"/>
    <col min="242" max="242" width="39" bestFit="1" customWidth="1"/>
    <col min="243" max="243" width="31.81640625" bestFit="1" customWidth="1"/>
    <col min="244" max="244" width="37.81640625" bestFit="1" customWidth="1"/>
    <col min="245" max="245" width="32.36328125" bestFit="1" customWidth="1"/>
    <col min="246" max="246" width="39.90625" bestFit="1" customWidth="1"/>
    <col min="247" max="247" width="44.1796875" bestFit="1" customWidth="1"/>
    <col min="248" max="248" width="45.81640625" bestFit="1" customWidth="1"/>
    <col min="249" max="249" width="39" bestFit="1" customWidth="1"/>
    <col min="250" max="250" width="31.81640625" bestFit="1" customWidth="1"/>
    <col min="251" max="251" width="37.81640625" bestFit="1" customWidth="1"/>
    <col min="252" max="252" width="32.36328125" bestFit="1" customWidth="1"/>
    <col min="253" max="253" width="39.90625" bestFit="1" customWidth="1"/>
    <col min="254" max="254" width="44.1796875" bestFit="1" customWidth="1"/>
    <col min="255" max="255" width="45.81640625" bestFit="1" customWidth="1"/>
    <col min="256" max="256" width="39" bestFit="1" customWidth="1"/>
    <col min="257" max="257" width="31.81640625" bestFit="1" customWidth="1"/>
    <col min="258" max="258" width="37.81640625" bestFit="1" customWidth="1"/>
    <col min="259" max="259" width="32.36328125" bestFit="1" customWidth="1"/>
    <col min="260" max="260" width="39.90625" bestFit="1" customWidth="1"/>
    <col min="261" max="261" width="44.1796875" bestFit="1" customWidth="1"/>
    <col min="262" max="262" width="45.81640625" bestFit="1" customWidth="1"/>
    <col min="263" max="263" width="39" bestFit="1" customWidth="1"/>
    <col min="264" max="264" width="31.81640625" bestFit="1" customWidth="1"/>
    <col min="265" max="265" width="37.81640625" bestFit="1" customWidth="1"/>
    <col min="266" max="266" width="32.36328125" bestFit="1" customWidth="1"/>
    <col min="267" max="267" width="39.90625" bestFit="1" customWidth="1"/>
    <col min="268" max="268" width="44.1796875" bestFit="1" customWidth="1"/>
    <col min="269" max="269" width="45.81640625" bestFit="1" customWidth="1"/>
    <col min="270" max="270" width="39" bestFit="1" customWidth="1"/>
    <col min="271" max="271" width="31.81640625" bestFit="1" customWidth="1"/>
    <col min="272" max="272" width="37.81640625" bestFit="1" customWidth="1"/>
    <col min="273" max="273" width="32.36328125" bestFit="1" customWidth="1"/>
    <col min="274" max="274" width="39.90625" bestFit="1" customWidth="1"/>
    <col min="275" max="275" width="44.1796875" bestFit="1" customWidth="1"/>
    <col min="276" max="276" width="45.81640625" bestFit="1" customWidth="1"/>
    <col min="277" max="277" width="39" bestFit="1" customWidth="1"/>
    <col min="278" max="278" width="31.81640625" bestFit="1" customWidth="1"/>
    <col min="279" max="279" width="37.81640625" bestFit="1" customWidth="1"/>
    <col min="280" max="280" width="32.36328125" bestFit="1" customWidth="1"/>
    <col min="281" max="281" width="39.90625" bestFit="1" customWidth="1"/>
    <col min="282" max="282" width="44.1796875" bestFit="1" customWidth="1"/>
    <col min="283" max="283" width="45.81640625" bestFit="1" customWidth="1"/>
    <col min="284" max="284" width="39" bestFit="1" customWidth="1"/>
    <col min="285" max="285" width="31.81640625" bestFit="1" customWidth="1"/>
    <col min="286" max="286" width="37.81640625" bestFit="1" customWidth="1"/>
    <col min="287" max="287" width="32.36328125" bestFit="1" customWidth="1"/>
    <col min="288" max="288" width="39.90625" bestFit="1" customWidth="1"/>
    <col min="289" max="289" width="44.1796875" bestFit="1" customWidth="1"/>
    <col min="290" max="290" width="45.81640625" bestFit="1" customWidth="1"/>
    <col min="291" max="291" width="39" bestFit="1" customWidth="1"/>
    <col min="292" max="292" width="31.81640625" bestFit="1" customWidth="1"/>
    <col min="293" max="293" width="37.81640625" bestFit="1" customWidth="1"/>
    <col min="294" max="294" width="32.36328125" bestFit="1" customWidth="1"/>
    <col min="295" max="295" width="39.90625" bestFit="1" customWidth="1"/>
    <col min="296" max="296" width="44.1796875" bestFit="1" customWidth="1"/>
    <col min="297" max="297" width="45.81640625" bestFit="1" customWidth="1"/>
    <col min="298" max="298" width="39" bestFit="1" customWidth="1"/>
    <col min="299" max="299" width="31.81640625" bestFit="1" customWidth="1"/>
    <col min="300" max="300" width="37.81640625" bestFit="1" customWidth="1"/>
    <col min="301" max="301" width="32.36328125" bestFit="1" customWidth="1"/>
    <col min="302" max="302" width="39.90625" bestFit="1" customWidth="1"/>
    <col min="303" max="303" width="44.1796875" bestFit="1" customWidth="1"/>
    <col min="304" max="304" width="45.81640625" bestFit="1" customWidth="1"/>
    <col min="305" max="305" width="39" bestFit="1" customWidth="1"/>
    <col min="306" max="306" width="31.81640625" bestFit="1" customWidth="1"/>
    <col min="307" max="307" width="37.81640625" bestFit="1" customWidth="1"/>
    <col min="308" max="308" width="32.36328125" bestFit="1" customWidth="1"/>
    <col min="309" max="309" width="39.90625" bestFit="1" customWidth="1"/>
    <col min="310" max="310" width="44.1796875" bestFit="1" customWidth="1"/>
    <col min="311" max="311" width="45.81640625" bestFit="1" customWidth="1"/>
    <col min="312" max="312" width="39" bestFit="1" customWidth="1"/>
    <col min="313" max="313" width="31.81640625" bestFit="1" customWidth="1"/>
    <col min="314" max="314" width="37.81640625" bestFit="1" customWidth="1"/>
    <col min="315" max="315" width="32.36328125" bestFit="1" customWidth="1"/>
    <col min="316" max="316" width="39.90625" bestFit="1" customWidth="1"/>
    <col min="317" max="317" width="44.1796875" bestFit="1" customWidth="1"/>
    <col min="318" max="318" width="45.81640625" bestFit="1" customWidth="1"/>
    <col min="319" max="319" width="39" bestFit="1" customWidth="1"/>
    <col min="320" max="320" width="31.81640625" bestFit="1" customWidth="1"/>
    <col min="321" max="321" width="37.81640625" bestFit="1" customWidth="1"/>
    <col min="322" max="322" width="32.36328125" bestFit="1" customWidth="1"/>
    <col min="323" max="323" width="39.90625" bestFit="1" customWidth="1"/>
    <col min="324" max="324" width="44.1796875" bestFit="1" customWidth="1"/>
    <col min="325" max="325" width="45.81640625" bestFit="1" customWidth="1"/>
    <col min="326" max="326" width="39" bestFit="1" customWidth="1"/>
    <col min="327" max="327" width="31.81640625" bestFit="1" customWidth="1"/>
    <col min="328" max="328" width="37.81640625" bestFit="1" customWidth="1"/>
    <col min="329" max="329" width="32.36328125" bestFit="1" customWidth="1"/>
    <col min="330" max="330" width="39.90625" bestFit="1" customWidth="1"/>
    <col min="331" max="331" width="44.1796875" bestFit="1" customWidth="1"/>
    <col min="332" max="332" width="45.81640625" bestFit="1" customWidth="1"/>
    <col min="333" max="333" width="39" bestFit="1" customWidth="1"/>
    <col min="334" max="334" width="31.81640625" bestFit="1" customWidth="1"/>
    <col min="335" max="335" width="37.81640625" bestFit="1" customWidth="1"/>
    <col min="336" max="336" width="32.36328125" bestFit="1" customWidth="1"/>
    <col min="337" max="337" width="39.90625" bestFit="1" customWidth="1"/>
    <col min="338" max="338" width="44.1796875" bestFit="1" customWidth="1"/>
    <col min="339" max="339" width="45.81640625" bestFit="1" customWidth="1"/>
    <col min="340" max="340" width="39" bestFit="1" customWidth="1"/>
    <col min="341" max="341" width="31.81640625" bestFit="1" customWidth="1"/>
    <col min="342" max="342" width="37.81640625" bestFit="1" customWidth="1"/>
    <col min="343" max="343" width="32.36328125" bestFit="1" customWidth="1"/>
    <col min="344" max="344" width="39.90625" bestFit="1" customWidth="1"/>
    <col min="345" max="345" width="44.1796875" bestFit="1" customWidth="1"/>
    <col min="346" max="346" width="45.81640625" bestFit="1" customWidth="1"/>
    <col min="347" max="347" width="39" bestFit="1" customWidth="1"/>
    <col min="348" max="348" width="31.81640625" bestFit="1" customWidth="1"/>
    <col min="349" max="349" width="37.81640625" bestFit="1" customWidth="1"/>
    <col min="350" max="350" width="32.36328125" bestFit="1" customWidth="1"/>
    <col min="351" max="351" width="39.90625" bestFit="1" customWidth="1"/>
    <col min="352" max="352" width="48.7265625" bestFit="1" customWidth="1"/>
    <col min="353" max="353" width="50.36328125" bestFit="1" customWidth="1"/>
    <col min="354" max="354" width="43.54296875" bestFit="1" customWidth="1"/>
    <col min="355" max="355" width="36.36328125" bestFit="1" customWidth="1"/>
    <col min="356" max="356" width="42.36328125" bestFit="1" customWidth="1"/>
    <col min="357" max="357" width="36.90625" bestFit="1" customWidth="1"/>
    <col min="358" max="358" width="44.453125" bestFit="1" customWidth="1"/>
  </cols>
  <sheetData>
    <row r="3" spans="1:11" x14ac:dyDescent="0.35">
      <c r="B3" s="1344" t="s">
        <v>856</v>
      </c>
    </row>
    <row r="4" spans="1:11" x14ac:dyDescent="0.35">
      <c r="A4" s="1344" t="s">
        <v>855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35">
      <c r="A5" s="1345" t="s">
        <v>57</v>
      </c>
      <c r="B5" s="1346"/>
      <c r="C5" s="1346"/>
      <c r="D5" s="1346"/>
      <c r="E5" s="1346"/>
      <c r="F5" s="1346"/>
      <c r="G5" s="1346"/>
      <c r="H5" s="1346"/>
      <c r="I5" s="1346"/>
      <c r="J5" s="1346"/>
      <c r="K5" s="1346"/>
    </row>
    <row r="6" spans="1:11" ht="16" x14ac:dyDescent="0.35">
      <c r="A6" s="1347" t="s">
        <v>864</v>
      </c>
      <c r="B6" s="1348">
        <v>100</v>
      </c>
      <c r="C6" s="1348">
        <v>100</v>
      </c>
      <c r="D6" s="1348">
        <v>100</v>
      </c>
      <c r="E6" s="1348">
        <v>100</v>
      </c>
      <c r="F6" s="1348">
        <v>100</v>
      </c>
      <c r="G6" s="1348">
        <v>100</v>
      </c>
      <c r="H6" s="1348">
        <v>100</v>
      </c>
      <c r="I6" s="1348">
        <v>100</v>
      </c>
      <c r="J6" s="1348">
        <v>100</v>
      </c>
      <c r="K6" s="1348">
        <v>100</v>
      </c>
    </row>
    <row r="7" spans="1:11" ht="16" x14ac:dyDescent="0.35">
      <c r="A7" s="1347" t="s">
        <v>859</v>
      </c>
      <c r="B7" s="1348">
        <v>99.92</v>
      </c>
      <c r="C7" s="1348">
        <v>99.78</v>
      </c>
      <c r="D7" s="1348">
        <v>99.76</v>
      </c>
      <c r="E7" s="1348">
        <v>99.86</v>
      </c>
      <c r="F7" s="1348">
        <v>99.82</v>
      </c>
      <c r="G7" s="1348">
        <v>99.68</v>
      </c>
      <c r="H7" s="1348">
        <v>100</v>
      </c>
      <c r="I7" s="1348">
        <v>100</v>
      </c>
      <c r="J7" s="1348">
        <v>99.839999999999989</v>
      </c>
      <c r="K7" s="1348">
        <v>99.75</v>
      </c>
    </row>
    <row r="8" spans="1:11" ht="16" x14ac:dyDescent="0.35">
      <c r="A8" s="1347" t="s">
        <v>860</v>
      </c>
      <c r="B8" s="1349">
        <v>99.9</v>
      </c>
      <c r="C8" s="1349">
        <v>99.87</v>
      </c>
      <c r="D8" s="1349">
        <v>99.76</v>
      </c>
      <c r="E8" s="1349">
        <v>99.91</v>
      </c>
      <c r="F8" s="1349">
        <v>99.91</v>
      </c>
      <c r="G8" s="1349">
        <v>99.95</v>
      </c>
      <c r="H8" s="1349">
        <v>99.929999999999993</v>
      </c>
      <c r="I8" s="1349">
        <v>99.850000000000009</v>
      </c>
      <c r="J8" s="1349">
        <v>99.83</v>
      </c>
      <c r="K8" s="1349">
        <v>99.78</v>
      </c>
    </row>
    <row r="9" spans="1:11" ht="16" x14ac:dyDescent="0.4">
      <c r="A9" s="1347" t="s">
        <v>861</v>
      </c>
      <c r="B9" s="1350">
        <v>0.04</v>
      </c>
      <c r="C9" s="1350">
        <v>0</v>
      </c>
      <c r="D9" s="1350">
        <v>0</v>
      </c>
      <c r="E9" s="1350">
        <v>0</v>
      </c>
      <c r="F9" s="1350">
        <v>0.2</v>
      </c>
      <c r="G9" s="1350">
        <v>0</v>
      </c>
      <c r="H9" s="1350">
        <v>0</v>
      </c>
      <c r="I9" s="1350">
        <v>0</v>
      </c>
      <c r="J9" s="1350">
        <v>0.08</v>
      </c>
      <c r="K9" s="1350">
        <v>6.9999999999999993E-2</v>
      </c>
    </row>
    <row r="10" spans="1:11" ht="16" x14ac:dyDescent="0.4">
      <c r="A10" s="1347" t="s">
        <v>862</v>
      </c>
      <c r="B10" s="1351">
        <v>0.09</v>
      </c>
      <c r="C10" s="1351">
        <v>0.05</v>
      </c>
      <c r="D10" s="1351">
        <v>0.06</v>
      </c>
      <c r="E10" s="1351">
        <v>0.03</v>
      </c>
      <c r="F10" s="1351">
        <v>0.04</v>
      </c>
      <c r="G10" s="1351">
        <v>0.1</v>
      </c>
      <c r="H10" s="1351">
        <v>0.05</v>
      </c>
      <c r="I10" s="1351">
        <v>0.03</v>
      </c>
      <c r="J10" s="1351">
        <v>0.06</v>
      </c>
      <c r="K10" s="1351">
        <v>6.9999999999999993E-2</v>
      </c>
    </row>
    <row r="11" spans="1:11" x14ac:dyDescent="0.35">
      <c r="A11" s="1347" t="s">
        <v>857</v>
      </c>
      <c r="B11" s="1352">
        <v>36.729999999999997</v>
      </c>
      <c r="C11" s="1352">
        <v>29.9</v>
      </c>
      <c r="D11" s="1352">
        <v>14.98</v>
      </c>
      <c r="E11" s="1352">
        <v>8.73</v>
      </c>
      <c r="F11" s="1352">
        <v>5.96</v>
      </c>
      <c r="G11" s="1352">
        <v>2.59</v>
      </c>
      <c r="H11" s="1352">
        <v>2.95</v>
      </c>
      <c r="I11" s="1352">
        <v>4.8499999999999996</v>
      </c>
      <c r="J11" s="1352">
        <v>15.66</v>
      </c>
      <c r="K11" s="1352">
        <v>39.75</v>
      </c>
    </row>
    <row r="12" spans="1:11" x14ac:dyDescent="0.35">
      <c r="A12" s="1347" t="s">
        <v>858</v>
      </c>
      <c r="B12" s="1352">
        <v>5.0693999999999999</v>
      </c>
      <c r="C12" s="1352">
        <v>4.1830999999999996</v>
      </c>
      <c r="D12" s="1352">
        <v>3.1617999999999999</v>
      </c>
      <c r="E12" s="1352">
        <v>1.4574</v>
      </c>
      <c r="F12" s="1352">
        <v>1.1605000000000001</v>
      </c>
      <c r="G12" s="1352">
        <v>1.0553999999999999</v>
      </c>
      <c r="H12" s="1352">
        <v>0.93820000000000003</v>
      </c>
      <c r="I12" s="1352">
        <v>1.4388000000000001</v>
      </c>
      <c r="J12" s="1352">
        <v>2.9533999999999998</v>
      </c>
      <c r="K12" s="1352">
        <v>3.3734999999999999</v>
      </c>
    </row>
    <row r="13" spans="1:11" x14ac:dyDescent="0.35">
      <c r="A13" s="1345" t="s">
        <v>53</v>
      </c>
      <c r="B13" s="1346"/>
      <c r="C13" s="1346"/>
      <c r="D13" s="1346"/>
      <c r="E13" s="1346"/>
      <c r="F13" s="1346"/>
      <c r="G13" s="1346"/>
      <c r="H13" s="1346"/>
      <c r="I13" s="1346"/>
      <c r="J13" s="1346"/>
      <c r="K13" s="1346"/>
    </row>
    <row r="14" spans="1:11" ht="16" x14ac:dyDescent="0.35">
      <c r="A14" s="1347" t="s">
        <v>864</v>
      </c>
      <c r="B14" s="1348">
        <v>100</v>
      </c>
      <c r="C14" s="1348">
        <v>100</v>
      </c>
      <c r="D14" s="1348">
        <v>100</v>
      </c>
      <c r="E14" s="1348">
        <v>100</v>
      </c>
      <c r="F14" s="1348">
        <v>100</v>
      </c>
      <c r="G14" s="1348">
        <v>100</v>
      </c>
      <c r="H14" s="1348">
        <v>100</v>
      </c>
      <c r="I14" s="1348">
        <v>100</v>
      </c>
      <c r="J14" s="1348">
        <v>100</v>
      </c>
      <c r="K14" s="1348">
        <v>100</v>
      </c>
    </row>
    <row r="15" spans="1:11" ht="16" x14ac:dyDescent="0.35">
      <c r="A15" s="1347" t="s">
        <v>859</v>
      </c>
      <c r="B15" s="1348">
        <v>99.8</v>
      </c>
      <c r="C15" s="1348">
        <v>99.41</v>
      </c>
      <c r="D15" s="1348">
        <v>99.82</v>
      </c>
      <c r="E15" s="1348">
        <v>99.7</v>
      </c>
      <c r="F15" s="1348">
        <v>100</v>
      </c>
      <c r="G15" s="1348">
        <v>100</v>
      </c>
      <c r="H15" s="1348">
        <v>99.78</v>
      </c>
      <c r="I15" s="1348">
        <v>100</v>
      </c>
      <c r="J15" s="1348">
        <v>99.8</v>
      </c>
      <c r="K15" s="1348">
        <v>99.74</v>
      </c>
    </row>
    <row r="16" spans="1:11" ht="16" x14ac:dyDescent="0.35">
      <c r="A16" s="1347" t="s">
        <v>860</v>
      </c>
      <c r="B16" s="1349">
        <v>99.839999999999989</v>
      </c>
      <c r="C16" s="1349">
        <v>99.9</v>
      </c>
      <c r="D16" s="1349">
        <v>99.9</v>
      </c>
      <c r="E16" s="1349">
        <v>99.86</v>
      </c>
      <c r="F16" s="1349">
        <v>99.81</v>
      </c>
      <c r="G16" s="1349">
        <v>99.850000000000009</v>
      </c>
      <c r="H16" s="1349">
        <v>99.86</v>
      </c>
      <c r="I16" s="1349">
        <v>99.82</v>
      </c>
      <c r="J16" s="1349">
        <v>99.92</v>
      </c>
      <c r="K16" s="1349">
        <v>99.74</v>
      </c>
    </row>
    <row r="17" spans="1:11" ht="16" x14ac:dyDescent="0.4">
      <c r="A17" s="1347" t="s">
        <v>861</v>
      </c>
      <c r="B17" s="1350">
        <v>0.09</v>
      </c>
      <c r="C17" s="1350">
        <v>0.05</v>
      </c>
      <c r="D17" s="1350">
        <v>6.9999999999999993E-2</v>
      </c>
      <c r="E17" s="1350">
        <v>0</v>
      </c>
      <c r="F17" s="1350">
        <v>0</v>
      </c>
      <c r="G17" s="1350">
        <v>0</v>
      </c>
      <c r="H17" s="1350">
        <v>0</v>
      </c>
      <c r="I17" s="1350">
        <v>0</v>
      </c>
      <c r="J17" s="1350">
        <v>0</v>
      </c>
      <c r="K17" s="1350">
        <v>0.06</v>
      </c>
    </row>
    <row r="18" spans="1:11" ht="16" x14ac:dyDescent="0.4">
      <c r="A18" s="1347" t="s">
        <v>862</v>
      </c>
      <c r="B18" s="1351">
        <v>0.15</v>
      </c>
      <c r="C18" s="1351">
        <v>6.9999999999999993E-2</v>
      </c>
      <c r="D18" s="1351">
        <v>0.06</v>
      </c>
      <c r="E18" s="1351">
        <v>0.02</v>
      </c>
      <c r="F18" s="1351">
        <v>0.03</v>
      </c>
      <c r="G18" s="1351">
        <v>0.03</v>
      </c>
      <c r="H18" s="1351">
        <v>0.04</v>
      </c>
      <c r="I18" s="1351">
        <v>0.05</v>
      </c>
      <c r="J18" s="1351">
        <v>0.04</v>
      </c>
      <c r="K18" s="1351">
        <v>0.12</v>
      </c>
    </row>
    <row r="19" spans="1:11" x14ac:dyDescent="0.35">
      <c r="A19" s="1347" t="s">
        <v>857</v>
      </c>
      <c r="B19" s="1352">
        <v>50.19</v>
      </c>
      <c r="C19" s="1352">
        <v>34.01</v>
      </c>
      <c r="D19" s="1352">
        <v>17.260000000000002</v>
      </c>
      <c r="E19" s="1352">
        <v>10.32</v>
      </c>
      <c r="F19" s="1352">
        <v>7.23</v>
      </c>
      <c r="G19" s="1352">
        <v>6.74</v>
      </c>
      <c r="H19" s="1352">
        <v>3.64</v>
      </c>
      <c r="I19" s="1352">
        <v>5.8</v>
      </c>
      <c r="J19" s="1352">
        <v>26.39</v>
      </c>
      <c r="K19" s="1352">
        <v>53.04</v>
      </c>
    </row>
    <row r="20" spans="1:11" x14ac:dyDescent="0.35">
      <c r="A20" s="1347" t="s">
        <v>858</v>
      </c>
      <c r="B20" s="1352">
        <v>5.9557000000000002</v>
      </c>
      <c r="C20" s="1352">
        <v>5.0385999999999997</v>
      </c>
      <c r="D20" s="1352">
        <v>3.6434000000000002</v>
      </c>
      <c r="E20" s="1352">
        <v>2.0754000000000001</v>
      </c>
      <c r="F20" s="1352">
        <v>2.0861000000000001</v>
      </c>
      <c r="G20" s="1352">
        <v>1.9069</v>
      </c>
      <c r="H20" s="1352">
        <v>2.4859</v>
      </c>
      <c r="I20" s="1352">
        <v>2.6307</v>
      </c>
      <c r="J20" s="1352">
        <v>4.7084999999999999</v>
      </c>
      <c r="K20" s="1352">
        <v>4.8193000000000001</v>
      </c>
    </row>
    <row r="21" spans="1:11" x14ac:dyDescent="0.35">
      <c r="A21" s="1345" t="s">
        <v>45</v>
      </c>
      <c r="B21" s="1346"/>
      <c r="C21" s="1346"/>
      <c r="D21" s="1346"/>
      <c r="E21" s="1346"/>
      <c r="F21" s="1346"/>
      <c r="G21" s="1346"/>
      <c r="H21" s="1346"/>
      <c r="I21" s="1346"/>
      <c r="J21" s="1346"/>
      <c r="K21" s="1346"/>
    </row>
    <row r="22" spans="1:11" ht="16" x14ac:dyDescent="0.35">
      <c r="A22" s="1347" t="s">
        <v>864</v>
      </c>
      <c r="B22" s="1348">
        <v>100</v>
      </c>
      <c r="C22" s="1348">
        <v>100</v>
      </c>
      <c r="D22" s="1348">
        <v>100</v>
      </c>
      <c r="E22" s="1348">
        <v>100</v>
      </c>
      <c r="F22" s="1348">
        <v>100</v>
      </c>
      <c r="G22" s="1348">
        <v>100</v>
      </c>
      <c r="H22" s="1348">
        <v>100</v>
      </c>
      <c r="I22" s="1348">
        <v>100</v>
      </c>
      <c r="J22" s="1348">
        <v>100</v>
      </c>
      <c r="K22" s="1348">
        <v>100</v>
      </c>
    </row>
    <row r="23" spans="1:11" ht="16" x14ac:dyDescent="0.35">
      <c r="A23" s="1347" t="s">
        <v>859</v>
      </c>
      <c r="B23" s="1348">
        <v>99.89</v>
      </c>
      <c r="C23" s="1348">
        <v>99.61</v>
      </c>
      <c r="D23" s="1348">
        <v>99.6</v>
      </c>
      <c r="E23" s="1348">
        <v>100</v>
      </c>
      <c r="F23" s="1348">
        <v>100</v>
      </c>
      <c r="G23" s="1348">
        <v>100</v>
      </c>
      <c r="H23" s="1348">
        <v>100</v>
      </c>
      <c r="I23" s="1348">
        <v>100</v>
      </c>
      <c r="J23" s="1348">
        <v>99.88</v>
      </c>
      <c r="K23" s="1348">
        <v>99.74</v>
      </c>
    </row>
    <row r="24" spans="1:11" ht="16" x14ac:dyDescent="0.35">
      <c r="A24" s="1347" t="s">
        <v>860</v>
      </c>
      <c r="B24" s="1349">
        <v>99.83</v>
      </c>
      <c r="C24" s="1349">
        <v>99.86</v>
      </c>
      <c r="D24" s="1349">
        <v>99.929999999999993</v>
      </c>
      <c r="E24" s="1349">
        <v>99.960000000000008</v>
      </c>
      <c r="F24" s="1349">
        <v>99.95</v>
      </c>
      <c r="G24" s="1349">
        <v>99.850000000000009</v>
      </c>
      <c r="H24" s="1349">
        <v>99.960000000000008</v>
      </c>
      <c r="I24" s="1349">
        <v>99.9</v>
      </c>
      <c r="J24" s="1349">
        <v>99.91</v>
      </c>
      <c r="K24" s="1349">
        <v>99.9</v>
      </c>
    </row>
    <row r="25" spans="1:11" ht="16" x14ac:dyDescent="0.4">
      <c r="A25" s="1347" t="s">
        <v>861</v>
      </c>
      <c r="B25" s="1350">
        <v>0</v>
      </c>
      <c r="C25" s="1350">
        <v>0.1</v>
      </c>
      <c r="D25" s="1350">
        <v>0</v>
      </c>
      <c r="E25" s="1350">
        <v>0</v>
      </c>
      <c r="F25" s="1350">
        <v>0</v>
      </c>
      <c r="G25" s="1350">
        <v>0</v>
      </c>
      <c r="H25" s="1350">
        <v>0</v>
      </c>
      <c r="I25" s="1350">
        <v>0</v>
      </c>
      <c r="J25" s="1350">
        <v>0</v>
      </c>
      <c r="K25" s="1350">
        <v>0</v>
      </c>
    </row>
    <row r="26" spans="1:11" ht="16" x14ac:dyDescent="0.4">
      <c r="A26" s="1347" t="s">
        <v>862</v>
      </c>
      <c r="B26" s="1351">
        <v>0.06</v>
      </c>
      <c r="C26" s="1351">
        <v>0.05</v>
      </c>
      <c r="D26" s="1351">
        <v>0.02</v>
      </c>
      <c r="E26" s="1351">
        <v>0.03</v>
      </c>
      <c r="F26" s="1351">
        <v>0.03</v>
      </c>
      <c r="G26" s="1351">
        <v>0</v>
      </c>
      <c r="H26" s="1351">
        <v>0.03</v>
      </c>
      <c r="I26" s="1351">
        <v>0.05</v>
      </c>
      <c r="J26" s="1351">
        <v>0.08</v>
      </c>
      <c r="K26" s="1351">
        <v>6.9999999999999993E-2</v>
      </c>
    </row>
    <row r="27" spans="1:11" x14ac:dyDescent="0.35">
      <c r="A27" s="1347" t="s">
        <v>857</v>
      </c>
      <c r="B27" s="1352">
        <v>25.53</v>
      </c>
      <c r="C27" s="1352">
        <v>15.75</v>
      </c>
      <c r="D27" s="1352">
        <v>9.26</v>
      </c>
      <c r="E27" s="1352">
        <v>6.45</v>
      </c>
      <c r="F27" s="1352">
        <v>5.32</v>
      </c>
      <c r="G27" s="1352">
        <v>1.83</v>
      </c>
      <c r="H27" s="1352">
        <v>2.08</v>
      </c>
      <c r="I27" s="1352">
        <v>2.23</v>
      </c>
      <c r="J27" s="1352">
        <v>10.68</v>
      </c>
      <c r="K27" s="1352">
        <v>26.41</v>
      </c>
    </row>
    <row r="28" spans="1:11" x14ac:dyDescent="0.35">
      <c r="A28" s="1347" t="s">
        <v>858</v>
      </c>
      <c r="B28" s="1352">
        <v>4.0422000000000002</v>
      </c>
      <c r="C28" s="1352">
        <v>2.7993000000000001</v>
      </c>
      <c r="D28" s="1352">
        <v>3.8128000000000002</v>
      </c>
      <c r="E28" s="1352">
        <v>2.9110999999999998</v>
      </c>
      <c r="F28" s="1352">
        <v>1.4862</v>
      </c>
      <c r="G28" s="1352">
        <v>0.84809999999999997</v>
      </c>
      <c r="H28" s="1352">
        <v>0.91420000000000001</v>
      </c>
      <c r="I28" s="1352">
        <v>2.4466999999999999</v>
      </c>
      <c r="J28" s="1352">
        <v>2.1013000000000002</v>
      </c>
      <c r="K28" s="1352">
        <v>2.6644999999999999</v>
      </c>
    </row>
    <row r="29" spans="1:11" x14ac:dyDescent="0.35">
      <c r="A29" s="1345" t="s">
        <v>55</v>
      </c>
      <c r="B29" s="1346"/>
      <c r="C29" s="1346"/>
      <c r="D29" s="1346"/>
      <c r="E29" s="1346"/>
      <c r="F29" s="1346"/>
      <c r="G29" s="1346"/>
      <c r="H29" s="1346"/>
      <c r="I29" s="1346"/>
      <c r="J29" s="1346"/>
      <c r="K29" s="1346"/>
    </row>
    <row r="30" spans="1:11" ht="16" x14ac:dyDescent="0.35">
      <c r="A30" s="1347" t="s">
        <v>864</v>
      </c>
      <c r="B30" s="1348">
        <v>100</v>
      </c>
      <c r="C30" s="1348">
        <v>100</v>
      </c>
      <c r="D30" s="1348">
        <v>100</v>
      </c>
      <c r="E30" s="1348">
        <v>100</v>
      </c>
      <c r="F30" s="1348">
        <v>100</v>
      </c>
      <c r="G30" s="1348">
        <v>100</v>
      </c>
      <c r="H30" s="1348">
        <v>100</v>
      </c>
      <c r="I30" s="1348">
        <v>100</v>
      </c>
      <c r="J30" s="1348">
        <v>100</v>
      </c>
      <c r="K30" s="1348">
        <v>100</v>
      </c>
    </row>
    <row r="31" spans="1:11" ht="16" x14ac:dyDescent="0.35">
      <c r="A31" s="1347" t="s">
        <v>859</v>
      </c>
      <c r="B31" s="1348">
        <v>99.839999999999989</v>
      </c>
      <c r="C31" s="1348">
        <v>99.89</v>
      </c>
      <c r="D31" s="1348">
        <v>99.83</v>
      </c>
      <c r="E31" s="1348">
        <v>99.45</v>
      </c>
      <c r="F31" s="1348">
        <v>100</v>
      </c>
      <c r="G31" s="1348">
        <v>100</v>
      </c>
      <c r="H31" s="1348">
        <v>100</v>
      </c>
      <c r="I31" s="1348">
        <v>100</v>
      </c>
      <c r="J31" s="1348">
        <v>99.81</v>
      </c>
      <c r="K31" s="1348">
        <v>99.67</v>
      </c>
    </row>
    <row r="32" spans="1:11" ht="16" x14ac:dyDescent="0.35">
      <c r="A32" s="1347" t="s">
        <v>860</v>
      </c>
      <c r="B32" s="1349">
        <v>99.89</v>
      </c>
      <c r="C32" s="1349">
        <v>99.87</v>
      </c>
      <c r="D32" s="1349">
        <v>99.78</v>
      </c>
      <c r="E32" s="1349">
        <v>99.91</v>
      </c>
      <c r="F32" s="1349">
        <v>99.97</v>
      </c>
      <c r="G32" s="1349">
        <v>99.87</v>
      </c>
      <c r="H32" s="1349">
        <v>99.9</v>
      </c>
      <c r="I32" s="1349">
        <v>99.9</v>
      </c>
      <c r="J32" s="1349">
        <v>99.88</v>
      </c>
      <c r="K32" s="1349">
        <v>99.83</v>
      </c>
    </row>
    <row r="33" spans="1:11" ht="16" x14ac:dyDescent="0.4">
      <c r="A33" s="1347" t="s">
        <v>861</v>
      </c>
      <c r="B33" s="1350">
        <v>0</v>
      </c>
      <c r="C33" s="1350">
        <v>0</v>
      </c>
      <c r="D33" s="1350">
        <v>0</v>
      </c>
      <c r="E33" s="1350">
        <v>0</v>
      </c>
      <c r="F33" s="1350">
        <v>0</v>
      </c>
      <c r="G33" s="1350">
        <v>0</v>
      </c>
      <c r="H33" s="1350">
        <v>0</v>
      </c>
      <c r="I33" s="1350">
        <v>0</v>
      </c>
      <c r="J33" s="1350">
        <v>0</v>
      </c>
      <c r="K33" s="1350">
        <v>0</v>
      </c>
    </row>
    <row r="34" spans="1:11" ht="16" x14ac:dyDescent="0.4">
      <c r="A34" s="1347" t="s">
        <v>862</v>
      </c>
      <c r="B34" s="1351">
        <v>0.03</v>
      </c>
      <c r="C34" s="1351">
        <v>0.05</v>
      </c>
      <c r="D34" s="1351">
        <v>0.03</v>
      </c>
      <c r="E34" s="1351">
        <v>0.05</v>
      </c>
      <c r="F34" s="1351">
        <v>0.02</v>
      </c>
      <c r="G34" s="1351">
        <v>0.02</v>
      </c>
      <c r="H34" s="1351">
        <v>0.02</v>
      </c>
      <c r="I34" s="1351">
        <v>0.05</v>
      </c>
      <c r="J34" s="1351">
        <v>0.02</v>
      </c>
      <c r="K34" s="1351">
        <v>0.08</v>
      </c>
    </row>
    <row r="35" spans="1:11" x14ac:dyDescent="0.35">
      <c r="A35" s="1347" t="s">
        <v>857</v>
      </c>
      <c r="B35" s="1352">
        <v>27.94</v>
      </c>
      <c r="C35" s="1352">
        <v>15.2</v>
      </c>
      <c r="D35" s="1352">
        <v>7.87</v>
      </c>
      <c r="E35" s="1352">
        <v>3.2</v>
      </c>
      <c r="F35" s="1352">
        <v>5.0999999999999996</v>
      </c>
      <c r="G35" s="1352">
        <v>2.92</v>
      </c>
      <c r="H35" s="1352">
        <v>2.0699999999999998</v>
      </c>
      <c r="I35" s="1352">
        <v>5.19</v>
      </c>
      <c r="J35" s="1352">
        <v>13.94</v>
      </c>
      <c r="K35" s="1352">
        <v>33.14</v>
      </c>
    </row>
    <row r="36" spans="1:11" x14ac:dyDescent="0.35">
      <c r="A36" s="1347" t="s">
        <v>858</v>
      </c>
      <c r="B36" s="1352">
        <v>5.0846999999999998</v>
      </c>
      <c r="C36" s="1352">
        <v>4.0918999999999999</v>
      </c>
      <c r="D36" s="1352">
        <v>3.1253000000000002</v>
      </c>
      <c r="E36" s="1352">
        <v>1.2884</v>
      </c>
      <c r="F36" s="1352">
        <v>1.0527</v>
      </c>
      <c r="G36" s="1352">
        <v>1.2222</v>
      </c>
      <c r="H36" s="1352">
        <v>0.93020000000000003</v>
      </c>
      <c r="I36" s="1352">
        <v>1.8562000000000001</v>
      </c>
      <c r="J36" s="1352">
        <v>2.3990999999999998</v>
      </c>
      <c r="K36" s="1352">
        <v>2.9903</v>
      </c>
    </row>
    <row r="37" spans="1:11" x14ac:dyDescent="0.35">
      <c r="A37" s="1345" t="s">
        <v>47</v>
      </c>
      <c r="B37" s="1346"/>
      <c r="C37" s="1346"/>
      <c r="D37" s="1346"/>
      <c r="E37" s="1346"/>
      <c r="F37" s="1346"/>
      <c r="G37" s="1346"/>
      <c r="H37" s="1346"/>
      <c r="I37" s="1346"/>
      <c r="J37" s="1346"/>
      <c r="K37" s="1346"/>
    </row>
    <row r="38" spans="1:11" ht="16" x14ac:dyDescent="0.35">
      <c r="A38" s="1347" t="s">
        <v>864</v>
      </c>
      <c r="B38" s="1348">
        <v>100</v>
      </c>
      <c r="C38" s="1348">
        <v>100</v>
      </c>
      <c r="D38" s="1348">
        <v>100</v>
      </c>
      <c r="E38" s="1348">
        <v>100</v>
      </c>
      <c r="F38" s="1348">
        <v>100</v>
      </c>
      <c r="G38" s="1348">
        <v>100</v>
      </c>
      <c r="H38" s="1348">
        <v>100</v>
      </c>
      <c r="I38" s="1348">
        <v>100</v>
      </c>
      <c r="J38" s="1348">
        <v>100</v>
      </c>
      <c r="K38" s="1348">
        <v>100</v>
      </c>
    </row>
    <row r="39" spans="1:11" ht="16" x14ac:dyDescent="0.35">
      <c r="A39" s="1347" t="s">
        <v>859</v>
      </c>
      <c r="B39" s="1348">
        <v>99.4</v>
      </c>
      <c r="C39" s="1348">
        <v>99.87</v>
      </c>
      <c r="D39" s="1348">
        <v>100</v>
      </c>
      <c r="E39" s="1348">
        <v>100</v>
      </c>
      <c r="F39" s="1348">
        <v>100</v>
      </c>
      <c r="G39" s="1348">
        <v>99.19</v>
      </c>
      <c r="H39" s="1348">
        <v>100</v>
      </c>
      <c r="I39" s="1348">
        <v>100</v>
      </c>
      <c r="J39" s="1348">
        <v>98.79</v>
      </c>
      <c r="K39" s="1348">
        <v>99.65</v>
      </c>
    </row>
    <row r="40" spans="1:11" ht="16" x14ac:dyDescent="0.35">
      <c r="A40" s="1347" t="s">
        <v>860</v>
      </c>
      <c r="B40" s="1349">
        <v>99.86</v>
      </c>
      <c r="C40" s="1349">
        <v>99.86</v>
      </c>
      <c r="D40" s="1349">
        <v>99.78</v>
      </c>
      <c r="E40" s="1349">
        <v>99.92</v>
      </c>
      <c r="F40" s="1349">
        <v>99.79</v>
      </c>
      <c r="G40" s="1349">
        <v>99.82</v>
      </c>
      <c r="H40" s="1349">
        <v>99.9</v>
      </c>
      <c r="I40" s="1349">
        <v>99.78</v>
      </c>
      <c r="J40" s="1349">
        <v>99.86</v>
      </c>
      <c r="K40" s="1349">
        <v>99.8</v>
      </c>
    </row>
    <row r="41" spans="1:11" ht="16" x14ac:dyDescent="0.4">
      <c r="A41" s="1347" t="s">
        <v>861</v>
      </c>
      <c r="B41" s="1350">
        <v>0.09</v>
      </c>
      <c r="C41" s="1350">
        <v>0</v>
      </c>
      <c r="D41" s="1350">
        <v>0</v>
      </c>
      <c r="E41" s="1350">
        <v>0</v>
      </c>
      <c r="F41" s="1350">
        <v>0</v>
      </c>
      <c r="G41" s="1350">
        <v>0</v>
      </c>
      <c r="H41" s="1350">
        <v>0</v>
      </c>
      <c r="I41" s="1350">
        <v>0</v>
      </c>
      <c r="J41" s="1350">
        <v>0</v>
      </c>
      <c r="K41" s="1350">
        <v>0.09</v>
      </c>
    </row>
    <row r="42" spans="1:11" ht="16" x14ac:dyDescent="0.4">
      <c r="A42" s="1347" t="s">
        <v>862</v>
      </c>
      <c r="B42" s="1351">
        <v>0.08</v>
      </c>
      <c r="C42" s="1351">
        <v>0.04</v>
      </c>
      <c r="D42" s="1351">
        <v>0.09</v>
      </c>
      <c r="E42" s="1351">
        <v>0.05</v>
      </c>
      <c r="F42" s="1351">
        <v>0.05</v>
      </c>
      <c r="G42" s="1351">
        <v>0.06</v>
      </c>
      <c r="H42" s="1351">
        <v>0.11</v>
      </c>
      <c r="I42" s="1351">
        <v>0.16</v>
      </c>
      <c r="J42" s="1351">
        <v>0.05</v>
      </c>
      <c r="K42" s="1351">
        <v>6.9999999999999993E-2</v>
      </c>
    </row>
    <row r="43" spans="1:11" x14ac:dyDescent="0.35">
      <c r="A43" s="1347" t="s">
        <v>857</v>
      </c>
      <c r="B43" s="1352">
        <v>20.68</v>
      </c>
      <c r="C43" s="1352">
        <v>13.18</v>
      </c>
      <c r="D43" s="1352">
        <v>9.19</v>
      </c>
      <c r="E43" s="1352">
        <v>4.2300000000000004</v>
      </c>
      <c r="F43" s="1352">
        <v>1.33</v>
      </c>
      <c r="G43" s="1352">
        <v>1.3</v>
      </c>
      <c r="H43" s="1352">
        <v>1.05</v>
      </c>
      <c r="I43" s="1352">
        <v>1.82</v>
      </c>
      <c r="J43" s="1352">
        <v>8.75</v>
      </c>
      <c r="K43" s="1352">
        <v>20.41</v>
      </c>
    </row>
    <row r="44" spans="1:11" x14ac:dyDescent="0.35">
      <c r="A44" s="1347" t="s">
        <v>858</v>
      </c>
      <c r="B44" s="1352">
        <v>4.2110000000000003</v>
      </c>
      <c r="C44" s="1352">
        <v>3.2692999999999999</v>
      </c>
      <c r="D44" s="1352">
        <v>1.6420999999999999</v>
      </c>
      <c r="E44" s="1352">
        <v>1.1728000000000001</v>
      </c>
      <c r="F44" s="1352">
        <v>0.9486</v>
      </c>
      <c r="G44" s="1352">
        <v>0.78259999999999996</v>
      </c>
      <c r="H44" s="1352">
        <v>1.1515</v>
      </c>
      <c r="I44" s="1352">
        <v>1.1276999999999999</v>
      </c>
      <c r="J44" s="1352">
        <v>2.0030999999999999</v>
      </c>
      <c r="K44" s="1352">
        <v>2.1901000000000002</v>
      </c>
    </row>
    <row r="45" spans="1:11" x14ac:dyDescent="0.35">
      <c r="A45" s="1345" t="s">
        <v>59</v>
      </c>
      <c r="B45" s="1346"/>
      <c r="C45" s="1346"/>
      <c r="D45" s="1346"/>
      <c r="E45" s="1346"/>
      <c r="F45" s="1346"/>
      <c r="G45" s="1346"/>
      <c r="H45" s="1346"/>
      <c r="I45" s="1346"/>
      <c r="J45" s="1346"/>
      <c r="K45" s="1346"/>
    </row>
    <row r="46" spans="1:11" ht="16" x14ac:dyDescent="0.35">
      <c r="A46" s="1347" t="s">
        <v>864</v>
      </c>
      <c r="B46" s="1348">
        <v>76.53</v>
      </c>
      <c r="C46" s="1348">
        <v>95.94</v>
      </c>
      <c r="D46" s="1348">
        <v>100</v>
      </c>
      <c r="E46" s="1348">
        <v>100</v>
      </c>
      <c r="F46" s="1348">
        <v>100</v>
      </c>
      <c r="G46" s="1348">
        <v>100</v>
      </c>
      <c r="H46" s="1348">
        <v>100</v>
      </c>
      <c r="I46" s="1348">
        <v>100</v>
      </c>
      <c r="J46" s="1348">
        <v>100</v>
      </c>
      <c r="K46" s="1348">
        <v>100</v>
      </c>
    </row>
    <row r="47" spans="1:11" ht="16" x14ac:dyDescent="0.35">
      <c r="A47" s="1347" t="s">
        <v>859</v>
      </c>
      <c r="B47" s="1348">
        <v>99.79</v>
      </c>
      <c r="C47" s="1348">
        <v>99.72999999999999</v>
      </c>
      <c r="D47" s="1348">
        <v>100</v>
      </c>
      <c r="E47" s="1348">
        <v>99.7</v>
      </c>
      <c r="F47" s="1348">
        <v>100</v>
      </c>
      <c r="G47" s="1348">
        <v>100</v>
      </c>
      <c r="H47" s="1348">
        <v>100</v>
      </c>
      <c r="I47" s="1348">
        <v>100</v>
      </c>
      <c r="J47" s="1348">
        <v>99.7</v>
      </c>
      <c r="K47" s="1348">
        <v>99.74</v>
      </c>
    </row>
    <row r="48" spans="1:11" ht="16" x14ac:dyDescent="0.35">
      <c r="A48" s="1347" t="s">
        <v>860</v>
      </c>
      <c r="B48" s="1349">
        <v>99.75</v>
      </c>
      <c r="C48" s="1349">
        <v>99.9</v>
      </c>
      <c r="D48" s="1349">
        <v>99.92</v>
      </c>
      <c r="E48" s="1349">
        <v>99.99</v>
      </c>
      <c r="F48" s="1349">
        <v>99.98</v>
      </c>
      <c r="G48" s="1349">
        <v>99.98</v>
      </c>
      <c r="H48" s="1349">
        <v>99.94</v>
      </c>
      <c r="I48" s="1349">
        <v>99.92</v>
      </c>
      <c r="J48" s="1349">
        <v>99.88</v>
      </c>
      <c r="K48" s="1349">
        <v>99.91</v>
      </c>
    </row>
    <row r="49" spans="1:11" ht="16" x14ac:dyDescent="0.4">
      <c r="A49" s="1347" t="s">
        <v>861</v>
      </c>
      <c r="B49" s="1350">
        <v>1.54</v>
      </c>
      <c r="C49" s="1350">
        <v>0.3</v>
      </c>
      <c r="D49" s="1350">
        <v>0.22</v>
      </c>
      <c r="E49" s="1350">
        <v>0</v>
      </c>
      <c r="F49" s="1350">
        <v>0</v>
      </c>
      <c r="G49" s="1350">
        <v>0</v>
      </c>
      <c r="H49" s="1350">
        <v>0</v>
      </c>
      <c r="I49" s="1350">
        <v>0</v>
      </c>
      <c r="J49" s="1350">
        <v>0</v>
      </c>
      <c r="K49" s="1350">
        <v>0.06</v>
      </c>
    </row>
    <row r="50" spans="1:11" ht="16" x14ac:dyDescent="0.4">
      <c r="A50" s="1347" t="s">
        <v>862</v>
      </c>
      <c r="B50" s="1351">
        <v>0.13999999999999999</v>
      </c>
      <c r="C50" s="1351">
        <v>0.03</v>
      </c>
      <c r="D50" s="1351">
        <v>0.02</v>
      </c>
      <c r="E50" s="1351">
        <v>0.01</v>
      </c>
      <c r="F50" s="1351">
        <v>0.02</v>
      </c>
      <c r="G50" s="1351">
        <v>0.02</v>
      </c>
      <c r="H50" s="1351">
        <v>0.03</v>
      </c>
      <c r="I50" s="1351">
        <v>0.04</v>
      </c>
      <c r="J50" s="1351">
        <v>0.09</v>
      </c>
      <c r="K50" s="1351">
        <v>0.06</v>
      </c>
    </row>
    <row r="51" spans="1:11" x14ac:dyDescent="0.35">
      <c r="A51" s="1347" t="s">
        <v>857</v>
      </c>
      <c r="B51" s="1352">
        <v>17.98</v>
      </c>
      <c r="C51" s="1352">
        <v>13.29</v>
      </c>
      <c r="D51" s="1352">
        <v>7.91</v>
      </c>
      <c r="E51" s="1352">
        <v>5.24</v>
      </c>
      <c r="F51" s="1352">
        <v>5.48</v>
      </c>
      <c r="G51" s="1352">
        <v>2.37</v>
      </c>
      <c r="H51" s="1352">
        <v>2.71</v>
      </c>
      <c r="I51" s="1352">
        <v>2.74</v>
      </c>
      <c r="J51" s="1352">
        <v>13.23</v>
      </c>
      <c r="K51" s="1352">
        <v>30.13</v>
      </c>
    </row>
    <row r="52" spans="1:11" x14ac:dyDescent="0.35">
      <c r="A52" s="1347" t="s">
        <v>858</v>
      </c>
      <c r="B52" s="1352">
        <v>4.6654999999999998</v>
      </c>
      <c r="C52" s="1352">
        <v>4.5324999999999998</v>
      </c>
      <c r="D52" s="1352">
        <v>4.0518999999999998</v>
      </c>
      <c r="E52" s="1352">
        <v>2.7957000000000001</v>
      </c>
      <c r="F52" s="1352">
        <v>1.7995000000000001</v>
      </c>
      <c r="G52" s="1352">
        <v>1.3735999999999999</v>
      </c>
      <c r="H52" s="1352">
        <v>1.6022000000000001</v>
      </c>
      <c r="I52" s="1352">
        <v>1.5353000000000001</v>
      </c>
      <c r="J52" s="1352">
        <v>3.2452000000000001</v>
      </c>
      <c r="K52" s="1352">
        <v>4.5796999999999999</v>
      </c>
    </row>
    <row r="53" spans="1:11" x14ac:dyDescent="0.35">
      <c r="A53" s="1345" t="s">
        <v>49</v>
      </c>
      <c r="B53" s="1346"/>
      <c r="C53" s="1346"/>
      <c r="D53" s="1346"/>
      <c r="E53" s="1346"/>
      <c r="F53" s="1346"/>
      <c r="G53" s="1346"/>
      <c r="H53" s="1346"/>
      <c r="I53" s="1346"/>
      <c r="J53" s="1346"/>
      <c r="K53" s="1346"/>
    </row>
    <row r="54" spans="1:11" ht="16" x14ac:dyDescent="0.35">
      <c r="A54" s="1347" t="s">
        <v>864</v>
      </c>
      <c r="B54" s="1348">
        <v>100</v>
      </c>
      <c r="C54" s="1348">
        <v>100</v>
      </c>
      <c r="D54" s="1348">
        <v>100</v>
      </c>
      <c r="E54" s="1348">
        <v>100</v>
      </c>
      <c r="F54" s="1348">
        <v>100</v>
      </c>
      <c r="G54" s="1348">
        <v>100</v>
      </c>
      <c r="H54" s="1348">
        <v>100</v>
      </c>
      <c r="I54" s="1348">
        <v>100</v>
      </c>
      <c r="J54" s="1348">
        <v>100</v>
      </c>
      <c r="K54" s="1348">
        <v>100</v>
      </c>
    </row>
    <row r="55" spans="1:11" ht="16" x14ac:dyDescent="0.35">
      <c r="A55" s="1347" t="s">
        <v>859</v>
      </c>
      <c r="B55" s="1348">
        <v>99.68</v>
      </c>
      <c r="C55" s="1348">
        <v>99.83</v>
      </c>
      <c r="D55" s="1348">
        <v>99.5</v>
      </c>
      <c r="E55" s="1348">
        <v>100</v>
      </c>
      <c r="F55" s="1348">
        <v>100</v>
      </c>
      <c r="G55" s="1348">
        <v>100</v>
      </c>
      <c r="H55" s="1348">
        <v>100</v>
      </c>
      <c r="I55" s="1348">
        <v>100</v>
      </c>
      <c r="J55" s="1348">
        <v>99.37</v>
      </c>
      <c r="K55" s="1348">
        <v>99.58</v>
      </c>
    </row>
    <row r="56" spans="1:11" ht="16" x14ac:dyDescent="0.35">
      <c r="A56" s="1347" t="s">
        <v>860</v>
      </c>
      <c r="B56" s="1349">
        <v>99.81</v>
      </c>
      <c r="C56" s="1349">
        <v>99.87</v>
      </c>
      <c r="D56" s="1349">
        <v>99.91</v>
      </c>
      <c r="E56" s="1349">
        <v>99.95</v>
      </c>
      <c r="F56" s="1349">
        <v>99.98</v>
      </c>
      <c r="G56" s="1349">
        <v>99.98</v>
      </c>
      <c r="H56" s="1349">
        <v>99.91</v>
      </c>
      <c r="I56" s="1349">
        <v>99.850000000000009</v>
      </c>
      <c r="J56" s="1349">
        <v>99.92</v>
      </c>
      <c r="K56" s="1349">
        <v>99.81</v>
      </c>
    </row>
    <row r="57" spans="1:11" ht="16" x14ac:dyDescent="0.4">
      <c r="A57" s="1347" t="s">
        <v>861</v>
      </c>
      <c r="B57" s="1350">
        <v>0</v>
      </c>
      <c r="C57" s="1350">
        <v>0</v>
      </c>
      <c r="D57" s="1350">
        <v>0</v>
      </c>
      <c r="E57" s="1350">
        <v>0</v>
      </c>
      <c r="F57" s="1350">
        <v>0</v>
      </c>
      <c r="G57" s="1350">
        <v>0</v>
      </c>
      <c r="H57" s="1350">
        <v>0</v>
      </c>
      <c r="I57" s="1350">
        <v>0</v>
      </c>
      <c r="J57" s="1350">
        <v>0</v>
      </c>
      <c r="K57" s="1350">
        <v>0</v>
      </c>
    </row>
    <row r="58" spans="1:11" ht="16" x14ac:dyDescent="0.4">
      <c r="A58" s="1347" t="s">
        <v>862</v>
      </c>
      <c r="B58" s="1351">
        <v>6.9999999999999993E-2</v>
      </c>
      <c r="C58" s="1351">
        <v>0.03</v>
      </c>
      <c r="D58" s="1351">
        <v>0.02</v>
      </c>
      <c r="E58" s="1351">
        <v>0.02</v>
      </c>
      <c r="F58" s="1351">
        <v>0.04</v>
      </c>
      <c r="G58" s="1351">
        <v>0.02</v>
      </c>
      <c r="H58" s="1351">
        <v>0.05</v>
      </c>
      <c r="I58" s="1351">
        <v>0.04</v>
      </c>
      <c r="J58" s="1351">
        <v>0.06</v>
      </c>
      <c r="K58" s="1351">
        <v>6.9999999999999993E-2</v>
      </c>
    </row>
    <row r="59" spans="1:11" x14ac:dyDescent="0.35">
      <c r="A59" s="1347" t="s">
        <v>857</v>
      </c>
      <c r="B59" s="1352">
        <v>16.93</v>
      </c>
      <c r="C59" s="1352">
        <v>13.89</v>
      </c>
      <c r="D59" s="1352">
        <v>7.06</v>
      </c>
      <c r="E59" s="1352">
        <v>5.31</v>
      </c>
      <c r="F59" s="1352">
        <v>2.02</v>
      </c>
      <c r="G59" s="1352">
        <v>1.93</v>
      </c>
      <c r="H59" s="1352">
        <v>0.77</v>
      </c>
      <c r="I59" s="1352">
        <v>1.75</v>
      </c>
      <c r="J59" s="1352">
        <v>11.07</v>
      </c>
      <c r="K59" s="1352">
        <v>25.57</v>
      </c>
    </row>
    <row r="60" spans="1:11" x14ac:dyDescent="0.35">
      <c r="A60" s="1347" t="s">
        <v>858</v>
      </c>
      <c r="B60" s="1352">
        <v>4.8250000000000002</v>
      </c>
      <c r="C60" s="1352">
        <v>2.9045999999999998</v>
      </c>
      <c r="D60" s="1352">
        <v>1.8694999999999999</v>
      </c>
      <c r="E60" s="1352">
        <v>1.0032000000000001</v>
      </c>
      <c r="F60" s="1352">
        <v>0.72850000000000004</v>
      </c>
      <c r="G60" s="1352">
        <v>0.89349999999999996</v>
      </c>
      <c r="H60" s="1352">
        <v>1.3105</v>
      </c>
      <c r="I60" s="1352">
        <v>2.7503000000000002</v>
      </c>
      <c r="J60" s="1352">
        <v>3.3357999999999999</v>
      </c>
      <c r="K60" s="1352">
        <v>2.7942999999999998</v>
      </c>
    </row>
  </sheetData>
  <conditionalFormatting pivot="1" sqref="B6:K8">
    <cfRule type="cellIs" dxfId="59" priority="11" operator="lessThan">
      <formula>98.5</formula>
    </cfRule>
    <cfRule type="cellIs" dxfId="58" priority="12" operator="greaterThan">
      <formula>98.5</formula>
    </cfRule>
  </conditionalFormatting>
  <conditionalFormatting pivot="1" sqref="B8:K8">
    <cfRule type="cellIs" dxfId="57" priority="8" operator="lessThan">
      <formula>98.8</formula>
    </cfRule>
    <cfRule type="cellIs" dxfId="56" priority="9" operator="equal">
      <formula>98.8</formula>
    </cfRule>
    <cfRule type="cellIs" dxfId="55" priority="10" operator="greaterThan">
      <formula>98.8</formula>
    </cfRule>
  </conditionalFormatting>
  <conditionalFormatting pivot="1" sqref="B9:K10">
    <cfRule type="cellIs" dxfId="54" priority="13" operator="lessThan">
      <formula>0.7</formula>
    </cfRule>
    <cfRule type="cellIs" dxfId="53" priority="14" operator="greaterThan">
      <formula>0.7</formula>
    </cfRule>
  </conditionalFormatting>
  <conditionalFormatting pivot="1" sqref="B14:K16 B22:K24 B30:K32 B38:K40 B46:K48 B54:K56">
    <cfRule type="cellIs" dxfId="6" priority="4" operator="lessThan">
      <formula>98.5</formula>
    </cfRule>
    <cfRule type="cellIs" dxfId="5" priority="5" operator="greaterThan">
      <formula>98.5</formula>
    </cfRule>
  </conditionalFormatting>
  <conditionalFormatting pivot="1" sqref="B16:K16 B24:K24 B32:K32 B40:K40 B48:K48 B56:K56">
    <cfRule type="cellIs" dxfId="4" priority="1" operator="lessThan">
      <formula>98.8</formula>
    </cfRule>
    <cfRule type="cellIs" dxfId="3" priority="2" operator="equal">
      <formula>98.8</formula>
    </cfRule>
    <cfRule type="cellIs" dxfId="2" priority="3" operator="greaterThan">
      <formula>98.8</formula>
    </cfRule>
  </conditionalFormatting>
  <conditionalFormatting pivot="1" sqref="B17:K18 B25:K26 B33:K34 B41:K42 B49:K50 B57:K58">
    <cfRule type="cellIs" dxfId="1" priority="6" operator="lessThan">
      <formula>0.7</formula>
    </cfRule>
    <cfRule type="cellIs" dxfId="0" priority="7" operator="greaterThan">
      <formula>0.7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48"/>
  <sheetViews>
    <sheetView topLeftCell="I1" zoomScale="70" zoomScaleNormal="70" workbookViewId="0">
      <selection activeCell="J25" sqref="J25"/>
    </sheetView>
  </sheetViews>
  <sheetFormatPr defaultRowHeight="14.5" x14ac:dyDescent="0.35"/>
  <cols>
    <col min="1" max="2" width="20" customWidth="1"/>
    <col min="3" max="3" width="12" customWidth="1"/>
    <col min="4" max="40" width="20" customWidth="1"/>
  </cols>
  <sheetData>
    <row r="1" spans="1:40" ht="13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863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 spans="1:40" ht="16.5" x14ac:dyDescent="0.4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42</v>
      </c>
      <c r="G2" s="1" t="s">
        <v>43</v>
      </c>
      <c r="H2" s="1" t="s">
        <v>44</v>
      </c>
      <c r="I2" s="1" t="s">
        <v>45</v>
      </c>
      <c r="J2" s="1">
        <f>K2*100</f>
        <v>100</v>
      </c>
      <c r="K2" s="3">
        <v>1</v>
      </c>
      <c r="L2" s="4">
        <v>27.37</v>
      </c>
      <c r="M2" s="5">
        <v>3.8283</v>
      </c>
      <c r="N2">
        <v>99.82</v>
      </c>
      <c r="O2">
        <v>99.86</v>
      </c>
      <c r="P2" s="6">
        <v>0.99860000000000004</v>
      </c>
      <c r="Q2" s="6">
        <v>0.99870000000000003</v>
      </c>
      <c r="R2">
        <v>0</v>
      </c>
      <c r="S2">
        <v>6.9999999999999993E-2</v>
      </c>
      <c r="T2" s="7">
        <v>0</v>
      </c>
      <c r="U2" s="7">
        <v>0</v>
      </c>
      <c r="V2" s="7">
        <v>0</v>
      </c>
      <c r="W2" s="7">
        <v>0</v>
      </c>
      <c r="X2" s="6">
        <v>0.42770000000000002</v>
      </c>
      <c r="Y2" s="6">
        <v>0.1915</v>
      </c>
      <c r="Z2" s="4">
        <v>-9.9</v>
      </c>
      <c r="AA2" s="4">
        <v>-98.33</v>
      </c>
      <c r="AB2" s="6">
        <v>0.99919999999999998</v>
      </c>
      <c r="AC2" s="7">
        <v>100</v>
      </c>
      <c r="AD2" s="3">
        <v>1</v>
      </c>
      <c r="AE2" s="6">
        <v>1E-3</v>
      </c>
      <c r="AF2" s="6">
        <v>6.9999999999999999E-4</v>
      </c>
      <c r="AG2" s="7">
        <v>0</v>
      </c>
      <c r="AH2" s="7">
        <v>0</v>
      </c>
      <c r="AI2" s="7">
        <v>25</v>
      </c>
      <c r="AJ2" s="6">
        <v>0.99990000000000001</v>
      </c>
      <c r="AK2" s="7">
        <v>789501600</v>
      </c>
      <c r="AL2" s="5">
        <v>42.79</v>
      </c>
      <c r="AM2" s="5">
        <v>232.14760000000001</v>
      </c>
      <c r="AN2" s="5">
        <v>858.78899999999999</v>
      </c>
    </row>
    <row r="3" spans="1:40" ht="16.5" x14ac:dyDescent="0.4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42</v>
      </c>
      <c r="G3" s="1" t="s">
        <v>43</v>
      </c>
      <c r="H3" s="1" t="s">
        <v>46</v>
      </c>
      <c r="I3" s="1" t="s">
        <v>47</v>
      </c>
      <c r="J3" s="1">
        <f t="shared" ref="J3:J66" si="0">K3*100</f>
        <v>100</v>
      </c>
      <c r="K3" s="3">
        <v>1</v>
      </c>
      <c r="L3" s="4">
        <v>22.78</v>
      </c>
      <c r="M3" s="5">
        <v>1.9044000000000001</v>
      </c>
      <c r="N3">
        <v>99.7</v>
      </c>
      <c r="O3">
        <v>99.72999999999999</v>
      </c>
      <c r="P3" s="6">
        <v>0.99739999999999995</v>
      </c>
      <c r="Q3" s="6">
        <v>0.99729999999999996</v>
      </c>
      <c r="R3">
        <v>0</v>
      </c>
      <c r="S3">
        <v>6.9999999999999993E-2</v>
      </c>
      <c r="T3" s="7">
        <v>0</v>
      </c>
      <c r="U3" s="7">
        <v>0</v>
      </c>
      <c r="V3" s="7">
        <v>0</v>
      </c>
      <c r="W3" s="7">
        <v>0</v>
      </c>
      <c r="X3" s="6">
        <v>0.2535</v>
      </c>
      <c r="Y3" s="6">
        <v>9.1499999999999998E-2</v>
      </c>
      <c r="Z3" s="4">
        <v>-8.41</v>
      </c>
      <c r="AA3" s="4">
        <v>-99.64</v>
      </c>
      <c r="AB3" s="6">
        <v>0.99960000000000004</v>
      </c>
      <c r="AD3" s="3">
        <v>1</v>
      </c>
      <c r="AE3" s="6">
        <v>1.1000000000000001E-3</v>
      </c>
      <c r="AF3" s="6">
        <v>2.0000000000000001E-4</v>
      </c>
      <c r="AG3" s="7">
        <v>0</v>
      </c>
      <c r="AH3" s="7">
        <v>0</v>
      </c>
      <c r="AI3" s="7">
        <v>59</v>
      </c>
      <c r="AJ3" s="6">
        <v>0.99990000000000001</v>
      </c>
      <c r="AK3" s="7">
        <v>789501600</v>
      </c>
      <c r="AL3" s="5">
        <v>28.65</v>
      </c>
      <c r="AM3" s="5">
        <v>152.1705</v>
      </c>
      <c r="AN3" s="5">
        <v>404.48410000000001</v>
      </c>
    </row>
    <row r="4" spans="1:40" ht="16.5" x14ac:dyDescent="0.45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42</v>
      </c>
      <c r="G4" s="1" t="s">
        <v>43</v>
      </c>
      <c r="H4" s="1" t="s">
        <v>48</v>
      </c>
      <c r="I4" s="1" t="s">
        <v>49</v>
      </c>
      <c r="J4" s="1">
        <f t="shared" si="0"/>
        <v>100</v>
      </c>
      <c r="K4" s="3">
        <v>1</v>
      </c>
      <c r="L4" s="4">
        <v>22.74</v>
      </c>
      <c r="M4" s="5">
        <v>2.8262</v>
      </c>
      <c r="N4">
        <v>99.77000000000001</v>
      </c>
      <c r="O4">
        <v>99.850000000000009</v>
      </c>
      <c r="P4" s="6">
        <v>0.99850000000000005</v>
      </c>
      <c r="Q4" s="6">
        <v>0.99850000000000005</v>
      </c>
      <c r="R4">
        <v>6.9999999999999993E-2</v>
      </c>
      <c r="S4">
        <v>0.06</v>
      </c>
      <c r="T4" s="7">
        <v>0</v>
      </c>
      <c r="U4" s="7">
        <v>0</v>
      </c>
      <c r="V4" s="7">
        <v>0</v>
      </c>
      <c r="W4" s="7">
        <v>0</v>
      </c>
      <c r="X4" s="6">
        <v>0.38250000000000001</v>
      </c>
      <c r="Y4" s="6">
        <v>0.15609999999999999</v>
      </c>
      <c r="Z4" s="4">
        <v>-8.58</v>
      </c>
      <c r="AA4" s="4">
        <v>-98.68</v>
      </c>
      <c r="AB4" s="6">
        <v>0.99919999999999998</v>
      </c>
      <c r="AC4" s="7">
        <v>90</v>
      </c>
      <c r="AD4" s="6">
        <v>0.92979999999999996</v>
      </c>
      <c r="AE4" s="6">
        <v>1.1000000000000001E-3</v>
      </c>
      <c r="AF4" s="6">
        <v>2.0000000000000001E-4</v>
      </c>
      <c r="AG4" s="7">
        <v>0</v>
      </c>
      <c r="AH4" s="7">
        <v>0</v>
      </c>
      <c r="AI4" s="7">
        <v>17</v>
      </c>
      <c r="AJ4" s="6">
        <v>0.99970000000000003</v>
      </c>
      <c r="AK4" s="7">
        <v>789501600</v>
      </c>
      <c r="AL4" s="5">
        <v>33.793399999999998</v>
      </c>
      <c r="AM4" s="5">
        <v>142.08770000000001</v>
      </c>
      <c r="AN4" s="5">
        <v>660.85500000000002</v>
      </c>
    </row>
    <row r="5" spans="1:40" ht="16.5" x14ac:dyDescent="0.45">
      <c r="A5" s="1" t="s">
        <v>39</v>
      </c>
      <c r="B5" s="1" t="s">
        <v>40</v>
      </c>
      <c r="C5" s="1" t="s">
        <v>41</v>
      </c>
      <c r="D5" s="1" t="s">
        <v>50</v>
      </c>
      <c r="E5" s="1" t="s">
        <v>51</v>
      </c>
      <c r="F5" s="1" t="s">
        <v>50</v>
      </c>
      <c r="G5" s="1" t="s">
        <v>51</v>
      </c>
      <c r="H5" s="1" t="s">
        <v>52</v>
      </c>
      <c r="I5" s="1" t="s">
        <v>53</v>
      </c>
      <c r="J5" s="1">
        <f t="shared" si="0"/>
        <v>100</v>
      </c>
      <c r="K5" s="3">
        <v>1</v>
      </c>
      <c r="L5" s="4">
        <v>55.84</v>
      </c>
      <c r="M5" s="5">
        <v>5.4776999999999996</v>
      </c>
      <c r="N5">
        <v>99.74</v>
      </c>
      <c r="O5">
        <v>99.83</v>
      </c>
      <c r="P5" s="6">
        <v>0.99819999999999998</v>
      </c>
      <c r="Q5" s="6">
        <v>0.99819999999999998</v>
      </c>
      <c r="R5">
        <v>0.09</v>
      </c>
      <c r="S5">
        <v>0.09</v>
      </c>
      <c r="T5" s="7">
        <v>0</v>
      </c>
      <c r="U5" s="7">
        <v>0</v>
      </c>
      <c r="V5" s="7">
        <v>0</v>
      </c>
      <c r="W5" s="7">
        <v>0</v>
      </c>
      <c r="X5" s="6">
        <v>0.63270000000000004</v>
      </c>
      <c r="Y5" s="6">
        <v>0.50800000000000001</v>
      </c>
      <c r="Z5" s="4">
        <v>-11.76</v>
      </c>
      <c r="AA5" s="4">
        <v>-96.79</v>
      </c>
      <c r="AB5" s="6">
        <v>0.99950000000000006</v>
      </c>
      <c r="AC5" s="7">
        <v>75</v>
      </c>
      <c r="AD5" s="6">
        <v>0.85709999999999997</v>
      </c>
      <c r="AE5" s="6">
        <v>1.6999999999999999E-3</v>
      </c>
      <c r="AF5" s="6">
        <v>2.2000000000000001E-3</v>
      </c>
      <c r="AG5" s="7">
        <v>0</v>
      </c>
      <c r="AH5" s="7">
        <v>0</v>
      </c>
      <c r="AI5" s="7">
        <v>82</v>
      </c>
      <c r="AJ5" s="6">
        <v>0.99990000000000001</v>
      </c>
      <c r="AK5" s="7">
        <v>789501600</v>
      </c>
      <c r="AL5" s="5">
        <v>81.006699999999995</v>
      </c>
      <c r="AM5" s="5">
        <v>398.83969999999999</v>
      </c>
      <c r="AN5" s="5">
        <v>1165.3182999999999</v>
      </c>
    </row>
    <row r="6" spans="1:40" ht="16.5" x14ac:dyDescent="0.45">
      <c r="A6" s="1" t="s">
        <v>39</v>
      </c>
      <c r="B6" s="1" t="s">
        <v>40</v>
      </c>
      <c r="C6" s="1" t="s">
        <v>41</v>
      </c>
      <c r="D6" s="1" t="s">
        <v>50</v>
      </c>
      <c r="E6" s="1" t="s">
        <v>51</v>
      </c>
      <c r="F6" s="1" t="s">
        <v>50</v>
      </c>
      <c r="G6" s="1" t="s">
        <v>51</v>
      </c>
      <c r="H6" s="1" t="s">
        <v>54</v>
      </c>
      <c r="I6" s="1" t="s">
        <v>55</v>
      </c>
      <c r="J6" s="1">
        <f t="shared" si="0"/>
        <v>100</v>
      </c>
      <c r="K6" s="3">
        <v>1</v>
      </c>
      <c r="L6" s="4">
        <v>32.03</v>
      </c>
      <c r="M6" s="5">
        <v>3.3048000000000002</v>
      </c>
      <c r="N6">
        <v>99.72999999999999</v>
      </c>
      <c r="O6">
        <v>99.94</v>
      </c>
      <c r="P6" s="6">
        <v>0.99939999999999996</v>
      </c>
      <c r="Q6" s="6">
        <v>0.99939999999999996</v>
      </c>
      <c r="R6">
        <v>0</v>
      </c>
      <c r="S6">
        <v>0.05</v>
      </c>
      <c r="T6" s="7">
        <v>0</v>
      </c>
      <c r="U6" s="7">
        <v>0</v>
      </c>
      <c r="V6" s="7">
        <v>0</v>
      </c>
      <c r="W6" s="7">
        <v>0</v>
      </c>
      <c r="X6" s="6">
        <v>0.52510000000000001</v>
      </c>
      <c r="Y6" s="6">
        <v>0.32790000000000002</v>
      </c>
      <c r="Z6" s="4">
        <v>-10.210000000000001</v>
      </c>
      <c r="AA6" s="4">
        <v>-97.84</v>
      </c>
      <c r="AB6" s="6">
        <v>0.99970000000000003</v>
      </c>
      <c r="AD6" s="3">
        <v>1</v>
      </c>
      <c r="AE6" s="6">
        <v>2.2000000000000001E-3</v>
      </c>
      <c r="AF6" s="6">
        <v>3.8E-3</v>
      </c>
      <c r="AG6" s="7">
        <v>0</v>
      </c>
      <c r="AH6" s="7">
        <v>0</v>
      </c>
      <c r="AI6" s="7">
        <v>28</v>
      </c>
      <c r="AJ6" s="3">
        <v>1</v>
      </c>
      <c r="AK6" s="7">
        <v>789501600</v>
      </c>
      <c r="AL6" s="5">
        <v>48.419899999999998</v>
      </c>
      <c r="AM6" s="5">
        <v>210.56970000000001</v>
      </c>
      <c r="AN6" s="5">
        <v>727.05150000000003</v>
      </c>
    </row>
    <row r="7" spans="1:40" ht="16.5" x14ac:dyDescent="0.45">
      <c r="A7" s="1" t="s">
        <v>39</v>
      </c>
      <c r="B7" s="1" t="s">
        <v>40</v>
      </c>
      <c r="C7" s="1" t="s">
        <v>41</v>
      </c>
      <c r="D7" s="1" t="s">
        <v>50</v>
      </c>
      <c r="E7" s="1" t="s">
        <v>51</v>
      </c>
      <c r="F7" s="1" t="s">
        <v>50</v>
      </c>
      <c r="G7" s="1" t="s">
        <v>51</v>
      </c>
      <c r="H7" s="1" t="s">
        <v>56</v>
      </c>
      <c r="I7" s="1" t="s">
        <v>57</v>
      </c>
      <c r="J7" s="1">
        <f t="shared" si="0"/>
        <v>100</v>
      </c>
      <c r="K7" s="3">
        <v>1</v>
      </c>
      <c r="L7" s="4">
        <v>38.36</v>
      </c>
      <c r="M7" s="5">
        <v>3.5059999999999998</v>
      </c>
      <c r="N7">
        <v>99.77000000000001</v>
      </c>
      <c r="O7">
        <v>99.74</v>
      </c>
      <c r="P7" s="6">
        <v>0.99739999999999995</v>
      </c>
      <c r="Q7" s="6">
        <v>0.99750000000000005</v>
      </c>
      <c r="R7">
        <v>0</v>
      </c>
      <c r="S7">
        <v>0.05</v>
      </c>
      <c r="T7" s="7">
        <v>0</v>
      </c>
      <c r="U7" s="7">
        <v>0</v>
      </c>
      <c r="V7" s="7">
        <v>0</v>
      </c>
      <c r="W7" s="7">
        <v>0</v>
      </c>
      <c r="X7" s="6">
        <v>0.48110000000000003</v>
      </c>
      <c r="Y7" s="6">
        <v>0.3427</v>
      </c>
      <c r="Z7" s="4">
        <v>-9.2799999999999994</v>
      </c>
      <c r="AA7" s="4">
        <v>-96.62</v>
      </c>
      <c r="AB7" s="6">
        <v>0.99980000000000002</v>
      </c>
      <c r="AD7" s="6">
        <v>0.875</v>
      </c>
      <c r="AE7" s="6">
        <v>2.3E-3</v>
      </c>
      <c r="AF7" s="6">
        <v>8.0999999999999996E-3</v>
      </c>
      <c r="AG7" s="7">
        <v>0</v>
      </c>
      <c r="AH7" s="7">
        <v>0</v>
      </c>
      <c r="AI7" s="7">
        <v>31</v>
      </c>
      <c r="AJ7" s="3">
        <v>1</v>
      </c>
      <c r="AK7" s="7">
        <v>789501600</v>
      </c>
      <c r="AL7" s="5">
        <v>49.561700000000002</v>
      </c>
      <c r="AM7" s="5">
        <v>220.7432</v>
      </c>
      <c r="AN7" s="5">
        <v>761.68219999999997</v>
      </c>
    </row>
    <row r="8" spans="1:40" ht="16.5" x14ac:dyDescent="0.45">
      <c r="A8" s="1" t="s">
        <v>39</v>
      </c>
      <c r="B8" s="1" t="s">
        <v>40</v>
      </c>
      <c r="C8" s="1" t="s">
        <v>41</v>
      </c>
      <c r="D8" s="1" t="s">
        <v>50</v>
      </c>
      <c r="E8" s="1" t="s">
        <v>51</v>
      </c>
      <c r="F8" s="1" t="s">
        <v>50</v>
      </c>
      <c r="G8" s="1" t="s">
        <v>51</v>
      </c>
      <c r="H8" s="1" t="s">
        <v>58</v>
      </c>
      <c r="I8" s="1" t="s">
        <v>59</v>
      </c>
      <c r="J8" s="1">
        <f t="shared" si="0"/>
        <v>100</v>
      </c>
      <c r="K8" s="3">
        <v>1</v>
      </c>
      <c r="L8" s="4">
        <v>31.24</v>
      </c>
      <c r="M8" s="5">
        <v>3.9597000000000002</v>
      </c>
      <c r="N8">
        <v>99.960000000000008</v>
      </c>
      <c r="O8">
        <v>99.92</v>
      </c>
      <c r="P8" s="6">
        <v>0.99919999999999998</v>
      </c>
      <c r="Q8" s="6">
        <v>0.99919999999999998</v>
      </c>
      <c r="R8">
        <v>0.05</v>
      </c>
      <c r="S8">
        <v>0.04</v>
      </c>
      <c r="T8" s="7">
        <v>0</v>
      </c>
      <c r="U8" s="7">
        <v>0</v>
      </c>
      <c r="V8" s="7">
        <v>0</v>
      </c>
      <c r="W8" s="7">
        <v>0</v>
      </c>
      <c r="X8" s="3">
        <v>0.45</v>
      </c>
      <c r="Y8" s="6">
        <v>0.29820000000000002</v>
      </c>
      <c r="Z8" s="4">
        <v>-9.27</v>
      </c>
      <c r="AA8" s="4">
        <v>-101.06</v>
      </c>
      <c r="AB8" s="6">
        <v>0.99970000000000003</v>
      </c>
      <c r="AD8" s="6">
        <v>0.85709999999999997</v>
      </c>
      <c r="AE8" s="6">
        <v>1.1999999999999999E-3</v>
      </c>
      <c r="AF8" s="6">
        <v>1E-4</v>
      </c>
      <c r="AG8" s="7">
        <v>0</v>
      </c>
      <c r="AH8" s="7">
        <v>0</v>
      </c>
      <c r="AI8" s="7">
        <v>29</v>
      </c>
      <c r="AJ8" s="3">
        <v>1</v>
      </c>
      <c r="AK8" s="7">
        <v>789501600</v>
      </c>
      <c r="AL8" s="5">
        <v>46.861699999999999</v>
      </c>
      <c r="AM8" s="5">
        <v>248.1634</v>
      </c>
      <c r="AN8" s="5">
        <v>858.9855</v>
      </c>
    </row>
    <row r="9" spans="1:40" ht="16.5" x14ac:dyDescent="0.45">
      <c r="A9" s="1" t="s">
        <v>40</v>
      </c>
      <c r="B9" s="1" t="s">
        <v>60</v>
      </c>
      <c r="C9" s="1" t="s">
        <v>41</v>
      </c>
      <c r="D9" s="1" t="s">
        <v>42</v>
      </c>
      <c r="E9" s="1" t="s">
        <v>43</v>
      </c>
      <c r="F9" s="1" t="s">
        <v>42</v>
      </c>
      <c r="G9" s="1" t="s">
        <v>43</v>
      </c>
      <c r="H9" s="1" t="s">
        <v>44</v>
      </c>
      <c r="I9" s="1" t="s">
        <v>45</v>
      </c>
      <c r="J9" s="1">
        <f t="shared" si="0"/>
        <v>100</v>
      </c>
      <c r="K9" s="3">
        <v>1</v>
      </c>
      <c r="L9" s="4">
        <v>38.590000000000003</v>
      </c>
      <c r="M9" s="5">
        <v>4.6124000000000001</v>
      </c>
      <c r="N9">
        <v>99.82</v>
      </c>
      <c r="O9">
        <v>99.89</v>
      </c>
      <c r="P9" s="6">
        <v>0.99890000000000001</v>
      </c>
      <c r="Q9" s="6">
        <v>0.999</v>
      </c>
      <c r="R9">
        <v>0.09</v>
      </c>
      <c r="S9">
        <v>0.11</v>
      </c>
      <c r="T9" s="7">
        <v>0</v>
      </c>
      <c r="U9" s="7">
        <v>0</v>
      </c>
      <c r="V9" s="7">
        <v>0</v>
      </c>
      <c r="W9" s="7">
        <v>0</v>
      </c>
      <c r="X9" s="6">
        <v>0.48649999999999999</v>
      </c>
      <c r="Y9" s="6">
        <v>0.1903</v>
      </c>
      <c r="Z9" s="4">
        <v>-10.52</v>
      </c>
      <c r="AA9" s="4">
        <v>-97.05</v>
      </c>
      <c r="AB9" s="6">
        <v>0.99950000000000006</v>
      </c>
      <c r="AC9" s="7">
        <v>100</v>
      </c>
      <c r="AD9" s="6">
        <v>0.84619999999999995</v>
      </c>
      <c r="AE9" s="6">
        <v>1.1999999999999999E-3</v>
      </c>
      <c r="AF9" s="6">
        <v>8.0000000000000004E-4</v>
      </c>
      <c r="AG9" s="7">
        <v>0</v>
      </c>
      <c r="AH9" s="7">
        <v>0</v>
      </c>
      <c r="AI9" s="7">
        <v>34</v>
      </c>
      <c r="AJ9" s="6">
        <v>0.99990000000000001</v>
      </c>
      <c r="AK9" s="7">
        <v>789501600</v>
      </c>
      <c r="AL9" s="5">
        <v>50.203299999999999</v>
      </c>
      <c r="AM9" s="5">
        <v>281.75959999999998</v>
      </c>
      <c r="AN9" s="5">
        <v>1031.6973</v>
      </c>
    </row>
    <row r="10" spans="1:40" ht="16.5" x14ac:dyDescent="0.45">
      <c r="A10" s="1" t="s">
        <v>40</v>
      </c>
      <c r="B10" s="1" t="s">
        <v>60</v>
      </c>
      <c r="C10" s="1" t="s">
        <v>41</v>
      </c>
      <c r="D10" s="1" t="s">
        <v>42</v>
      </c>
      <c r="E10" s="1" t="s">
        <v>43</v>
      </c>
      <c r="F10" s="1" t="s">
        <v>42</v>
      </c>
      <c r="G10" s="1" t="s">
        <v>43</v>
      </c>
      <c r="H10" s="1" t="s">
        <v>46</v>
      </c>
      <c r="I10" s="1" t="s">
        <v>47</v>
      </c>
      <c r="J10" s="1">
        <f t="shared" si="0"/>
        <v>100</v>
      </c>
      <c r="K10" s="3">
        <v>1</v>
      </c>
      <c r="L10" s="4">
        <v>26.44</v>
      </c>
      <c r="M10" s="5">
        <v>2.7323</v>
      </c>
      <c r="N10">
        <v>99.660000000000011</v>
      </c>
      <c r="O10">
        <v>99.71</v>
      </c>
      <c r="P10" s="6">
        <v>0.997</v>
      </c>
      <c r="Q10" s="6">
        <v>0.99709999999999999</v>
      </c>
      <c r="R10">
        <v>0.13999999999999999</v>
      </c>
      <c r="S10">
        <v>0.08</v>
      </c>
      <c r="T10" s="7">
        <v>0</v>
      </c>
      <c r="U10" s="7">
        <v>0</v>
      </c>
      <c r="V10" s="7">
        <v>0</v>
      </c>
      <c r="W10" s="7">
        <v>0</v>
      </c>
      <c r="X10" s="6">
        <v>0.32579999999999998</v>
      </c>
      <c r="Y10" s="6">
        <v>0.1048</v>
      </c>
      <c r="Z10" s="4">
        <v>-9.25</v>
      </c>
      <c r="AA10" s="4">
        <v>-99.19</v>
      </c>
      <c r="AB10" s="6">
        <v>0.99950000000000006</v>
      </c>
      <c r="AC10" s="7">
        <v>100</v>
      </c>
      <c r="AD10" s="3">
        <v>0.6</v>
      </c>
      <c r="AE10" s="6">
        <v>1.5E-3</v>
      </c>
      <c r="AF10" s="6">
        <v>6.9999999999999999E-4</v>
      </c>
      <c r="AG10" s="7">
        <v>0</v>
      </c>
      <c r="AH10" s="7">
        <v>0</v>
      </c>
      <c r="AI10" s="7">
        <v>57</v>
      </c>
      <c r="AJ10" s="6">
        <v>0.99990000000000001</v>
      </c>
      <c r="AK10" s="7">
        <v>789501600</v>
      </c>
      <c r="AL10" s="5">
        <v>31.705100000000002</v>
      </c>
      <c r="AM10" s="5">
        <v>132.2218</v>
      </c>
      <c r="AN10" s="5">
        <v>657.99670000000003</v>
      </c>
    </row>
    <row r="11" spans="1:40" ht="16.5" x14ac:dyDescent="0.45">
      <c r="A11" s="1" t="s">
        <v>40</v>
      </c>
      <c r="B11" s="1" t="s">
        <v>60</v>
      </c>
      <c r="C11" s="1" t="s">
        <v>41</v>
      </c>
      <c r="D11" s="1" t="s">
        <v>42</v>
      </c>
      <c r="E11" s="1" t="s">
        <v>43</v>
      </c>
      <c r="F11" s="1" t="s">
        <v>42</v>
      </c>
      <c r="G11" s="1" t="s">
        <v>43</v>
      </c>
      <c r="H11" s="1" t="s">
        <v>48</v>
      </c>
      <c r="I11" s="1" t="s">
        <v>49</v>
      </c>
      <c r="J11" s="1">
        <f t="shared" si="0"/>
        <v>100</v>
      </c>
      <c r="K11" s="3">
        <v>1</v>
      </c>
      <c r="L11" s="4">
        <v>31.47</v>
      </c>
      <c r="M11" s="5">
        <v>3.8168000000000002</v>
      </c>
      <c r="N11">
        <v>99.72999999999999</v>
      </c>
      <c r="O11">
        <v>99.79</v>
      </c>
      <c r="P11" s="6">
        <v>0.99790000000000001</v>
      </c>
      <c r="Q11" s="6">
        <v>0.99790000000000001</v>
      </c>
      <c r="R11">
        <v>0.19</v>
      </c>
      <c r="S11">
        <v>0.1</v>
      </c>
      <c r="T11" s="7">
        <v>0</v>
      </c>
      <c r="U11" s="7">
        <v>0</v>
      </c>
      <c r="V11" s="7">
        <v>0</v>
      </c>
      <c r="W11" s="7">
        <v>0</v>
      </c>
      <c r="X11" s="6">
        <v>0.50770000000000004</v>
      </c>
      <c r="Y11" s="6">
        <v>0.1454</v>
      </c>
      <c r="Z11" s="4">
        <v>-9.5299999999999994</v>
      </c>
      <c r="AA11" s="4">
        <v>-97.41</v>
      </c>
      <c r="AB11" s="6">
        <v>0.99950000000000006</v>
      </c>
      <c r="AC11" s="7">
        <v>80</v>
      </c>
      <c r="AD11" s="6">
        <v>0.93879999999999997</v>
      </c>
      <c r="AE11" s="6">
        <v>1.4E-3</v>
      </c>
      <c r="AF11" s="6">
        <v>6.4000000000000003E-3</v>
      </c>
      <c r="AG11" s="7">
        <v>0</v>
      </c>
      <c r="AH11" s="7">
        <v>0</v>
      </c>
      <c r="AI11" s="7">
        <v>31</v>
      </c>
      <c r="AJ11" s="6">
        <v>0.99960000000000004</v>
      </c>
      <c r="AK11" s="7">
        <v>789501600</v>
      </c>
      <c r="AL11" s="5">
        <v>39.588299999999997</v>
      </c>
      <c r="AM11" s="5">
        <v>266.05990000000003</v>
      </c>
      <c r="AN11" s="5">
        <v>795.64380000000006</v>
      </c>
    </row>
    <row r="12" spans="1:40" ht="16.5" x14ac:dyDescent="0.45">
      <c r="A12" s="1" t="s">
        <v>40</v>
      </c>
      <c r="B12" s="1" t="s">
        <v>60</v>
      </c>
      <c r="C12" s="1" t="s">
        <v>41</v>
      </c>
      <c r="D12" s="1" t="s">
        <v>50</v>
      </c>
      <c r="E12" s="1" t="s">
        <v>51</v>
      </c>
      <c r="F12" s="1" t="s">
        <v>50</v>
      </c>
      <c r="G12" s="1" t="s">
        <v>51</v>
      </c>
      <c r="H12" s="1" t="s">
        <v>52</v>
      </c>
      <c r="I12" s="1" t="s">
        <v>53</v>
      </c>
      <c r="J12" s="1">
        <f t="shared" si="0"/>
        <v>100</v>
      </c>
      <c r="K12" s="3">
        <v>1</v>
      </c>
      <c r="L12" s="4">
        <v>79.680000000000007</v>
      </c>
      <c r="M12" s="5">
        <v>4.9427000000000003</v>
      </c>
      <c r="N12">
        <v>99.71</v>
      </c>
      <c r="O12">
        <v>99.88</v>
      </c>
      <c r="P12" s="6">
        <v>0.99880000000000002</v>
      </c>
      <c r="Q12" s="6">
        <v>0.99880000000000002</v>
      </c>
      <c r="R12">
        <v>6.9999999999999993E-2</v>
      </c>
      <c r="S12">
        <v>0.08</v>
      </c>
      <c r="T12" s="7">
        <v>0</v>
      </c>
      <c r="U12" s="7">
        <v>0</v>
      </c>
      <c r="V12" s="7">
        <v>0</v>
      </c>
      <c r="W12" s="7">
        <v>0</v>
      </c>
      <c r="X12" s="6">
        <v>0.61890000000000001</v>
      </c>
      <c r="Y12" s="6">
        <v>0.51670000000000005</v>
      </c>
      <c r="Z12" s="4">
        <v>-11.67</v>
      </c>
      <c r="AA12" s="4">
        <v>-95.18</v>
      </c>
      <c r="AB12" s="6">
        <v>0.99939999999999996</v>
      </c>
      <c r="AC12" s="7">
        <v>100</v>
      </c>
      <c r="AD12" s="3">
        <v>1</v>
      </c>
      <c r="AE12" s="6">
        <v>1.8E-3</v>
      </c>
      <c r="AF12" s="6">
        <v>1.9E-3</v>
      </c>
      <c r="AG12" s="7">
        <v>0</v>
      </c>
      <c r="AH12" s="7">
        <v>0</v>
      </c>
      <c r="AI12" s="7">
        <v>81</v>
      </c>
      <c r="AJ12" s="6">
        <v>0.99990000000000001</v>
      </c>
      <c r="AK12" s="7">
        <v>789501600</v>
      </c>
      <c r="AL12" s="5">
        <v>93.993300000000005</v>
      </c>
      <c r="AM12" s="5">
        <v>395.90190000000001</v>
      </c>
      <c r="AN12" s="5">
        <v>1019.6292999999999</v>
      </c>
    </row>
    <row r="13" spans="1:40" ht="16.5" x14ac:dyDescent="0.45">
      <c r="A13" s="1" t="s">
        <v>40</v>
      </c>
      <c r="B13" s="1" t="s">
        <v>60</v>
      </c>
      <c r="C13" s="1" t="s">
        <v>41</v>
      </c>
      <c r="D13" s="1" t="s">
        <v>50</v>
      </c>
      <c r="E13" s="1" t="s">
        <v>51</v>
      </c>
      <c r="F13" s="1" t="s">
        <v>50</v>
      </c>
      <c r="G13" s="1" t="s">
        <v>51</v>
      </c>
      <c r="H13" s="1" t="s">
        <v>54</v>
      </c>
      <c r="I13" s="1" t="s">
        <v>55</v>
      </c>
      <c r="J13" s="1">
        <f t="shared" si="0"/>
        <v>100</v>
      </c>
      <c r="K13" s="3">
        <v>1</v>
      </c>
      <c r="L13" s="4">
        <v>39.83</v>
      </c>
      <c r="M13" s="5">
        <v>3.4672000000000001</v>
      </c>
      <c r="N13">
        <v>99.83</v>
      </c>
      <c r="O13">
        <v>99.839999999999989</v>
      </c>
      <c r="P13" s="6">
        <v>0.99839999999999995</v>
      </c>
      <c r="Q13" s="6">
        <v>0.99890000000000001</v>
      </c>
      <c r="R13">
        <v>0</v>
      </c>
      <c r="S13">
        <v>0.05</v>
      </c>
      <c r="T13" s="7">
        <v>0</v>
      </c>
      <c r="U13" s="7">
        <v>0</v>
      </c>
      <c r="V13" s="7">
        <v>0</v>
      </c>
      <c r="W13" s="7">
        <v>0</v>
      </c>
      <c r="X13" s="6">
        <v>0.55700000000000005</v>
      </c>
      <c r="Y13" s="6">
        <v>0.3175</v>
      </c>
      <c r="Z13" s="4">
        <v>-10.73</v>
      </c>
      <c r="AA13" s="4">
        <v>-96.83</v>
      </c>
      <c r="AB13" s="6">
        <v>0.99970000000000003</v>
      </c>
      <c r="AD13" s="3">
        <v>1</v>
      </c>
      <c r="AE13" s="6">
        <v>2.2000000000000001E-3</v>
      </c>
      <c r="AF13" s="6">
        <v>6.4999999999999997E-3</v>
      </c>
      <c r="AG13" s="7">
        <v>0</v>
      </c>
      <c r="AH13" s="7">
        <v>0</v>
      </c>
      <c r="AI13" s="7">
        <v>41</v>
      </c>
      <c r="AJ13" s="3">
        <v>1</v>
      </c>
      <c r="AK13" s="7">
        <v>789501600</v>
      </c>
      <c r="AL13" s="5">
        <v>51.938400000000001</v>
      </c>
      <c r="AM13" s="5">
        <v>215.83160000000001</v>
      </c>
      <c r="AN13" s="5">
        <v>767.28390000000002</v>
      </c>
    </row>
    <row r="14" spans="1:40" ht="16.5" x14ac:dyDescent="0.45">
      <c r="A14" s="1" t="s">
        <v>40</v>
      </c>
      <c r="B14" s="1" t="s">
        <v>60</v>
      </c>
      <c r="C14" s="1" t="s">
        <v>41</v>
      </c>
      <c r="D14" s="1" t="s">
        <v>50</v>
      </c>
      <c r="E14" s="1" t="s">
        <v>51</v>
      </c>
      <c r="F14" s="1" t="s">
        <v>50</v>
      </c>
      <c r="G14" s="1" t="s">
        <v>51</v>
      </c>
      <c r="H14" s="1" t="s">
        <v>56</v>
      </c>
      <c r="I14" s="1" t="s">
        <v>57</v>
      </c>
      <c r="J14" s="1">
        <f t="shared" si="0"/>
        <v>100</v>
      </c>
      <c r="K14" s="3">
        <v>1</v>
      </c>
      <c r="L14" s="4">
        <v>60.29</v>
      </c>
      <c r="M14" s="5">
        <v>3.8363</v>
      </c>
      <c r="N14">
        <v>99.65</v>
      </c>
      <c r="O14">
        <v>99.92</v>
      </c>
      <c r="P14" s="6">
        <v>0.99919999999999998</v>
      </c>
      <c r="Q14" s="6">
        <v>0.99929999999999997</v>
      </c>
      <c r="R14">
        <v>0</v>
      </c>
      <c r="S14">
        <v>6.9999999999999993E-2</v>
      </c>
      <c r="T14" s="7">
        <v>0</v>
      </c>
      <c r="U14" s="7">
        <v>0</v>
      </c>
      <c r="V14" s="7">
        <v>0</v>
      </c>
      <c r="W14" s="7">
        <v>0</v>
      </c>
      <c r="X14" s="6">
        <v>0.56179999999999997</v>
      </c>
      <c r="Y14" s="6">
        <v>0.38109999999999999</v>
      </c>
      <c r="Z14" s="4">
        <v>-10.1</v>
      </c>
      <c r="AA14" s="4">
        <v>-94.82</v>
      </c>
      <c r="AB14" s="6">
        <v>0.99970000000000003</v>
      </c>
      <c r="AD14" s="6">
        <v>0.97440000000000004</v>
      </c>
      <c r="AE14" s="6">
        <v>2.8999999999999998E-3</v>
      </c>
      <c r="AF14" s="6">
        <v>8.3999999999999995E-3</v>
      </c>
      <c r="AG14" s="7">
        <v>0</v>
      </c>
      <c r="AH14" s="7">
        <v>0</v>
      </c>
      <c r="AI14" s="7">
        <v>33</v>
      </c>
      <c r="AJ14" s="3">
        <v>1</v>
      </c>
      <c r="AK14" s="7">
        <v>789501600</v>
      </c>
      <c r="AL14" s="5">
        <v>66.421700000000001</v>
      </c>
      <c r="AM14" s="5">
        <v>256.61450000000002</v>
      </c>
      <c r="AN14" s="5">
        <v>828.09780000000001</v>
      </c>
    </row>
    <row r="15" spans="1:40" ht="16.5" x14ac:dyDescent="0.45">
      <c r="A15" s="1" t="s">
        <v>40</v>
      </c>
      <c r="B15" s="1" t="s">
        <v>60</v>
      </c>
      <c r="C15" s="1" t="s">
        <v>41</v>
      </c>
      <c r="D15" s="1" t="s">
        <v>50</v>
      </c>
      <c r="E15" s="1" t="s">
        <v>51</v>
      </c>
      <c r="F15" s="1" t="s">
        <v>50</v>
      </c>
      <c r="G15" s="1" t="s">
        <v>51</v>
      </c>
      <c r="H15" s="1" t="s">
        <v>58</v>
      </c>
      <c r="I15" s="1" t="s">
        <v>59</v>
      </c>
      <c r="J15" s="1">
        <f t="shared" si="0"/>
        <v>100</v>
      </c>
      <c r="K15" s="3">
        <v>1</v>
      </c>
      <c r="L15" s="4">
        <v>44.62</v>
      </c>
      <c r="M15" s="5">
        <v>4.8407</v>
      </c>
      <c r="N15">
        <v>99.89</v>
      </c>
      <c r="O15">
        <v>99.850000000000009</v>
      </c>
      <c r="P15" s="6">
        <v>0.99850000000000005</v>
      </c>
      <c r="Q15" s="6">
        <v>0.99850000000000005</v>
      </c>
      <c r="R15">
        <v>0.08</v>
      </c>
      <c r="S15">
        <v>0.05</v>
      </c>
      <c r="T15" s="7">
        <v>0</v>
      </c>
      <c r="U15" s="7">
        <v>0</v>
      </c>
      <c r="V15" s="7">
        <v>0</v>
      </c>
      <c r="W15" s="7">
        <v>0</v>
      </c>
      <c r="X15" s="6">
        <v>0.52890000000000004</v>
      </c>
      <c r="Y15" s="6">
        <v>0.38030000000000003</v>
      </c>
      <c r="Z15" s="4">
        <v>-9.91</v>
      </c>
      <c r="AA15" s="4">
        <v>-99.86</v>
      </c>
      <c r="AB15" s="6">
        <v>0.99960000000000004</v>
      </c>
      <c r="AD15" s="3">
        <v>1</v>
      </c>
      <c r="AE15" s="6">
        <v>1.2999999999999999E-3</v>
      </c>
      <c r="AF15" s="6">
        <v>5.0000000000000001E-4</v>
      </c>
      <c r="AG15" s="7">
        <v>0</v>
      </c>
      <c r="AH15" s="7">
        <v>0</v>
      </c>
      <c r="AI15" s="7">
        <v>32</v>
      </c>
      <c r="AJ15" s="3">
        <v>1</v>
      </c>
      <c r="AK15" s="7">
        <v>789501600</v>
      </c>
      <c r="AL15" s="5">
        <v>58.066699999999997</v>
      </c>
      <c r="AM15" s="5">
        <v>316.142</v>
      </c>
      <c r="AN15" s="5">
        <v>1042.2067</v>
      </c>
    </row>
    <row r="16" spans="1:40" ht="16.5" x14ac:dyDescent="0.45">
      <c r="A16" s="1" t="s">
        <v>60</v>
      </c>
      <c r="B16" s="1" t="s">
        <v>61</v>
      </c>
      <c r="C16" s="1" t="s">
        <v>41</v>
      </c>
      <c r="D16" s="1" t="s">
        <v>42</v>
      </c>
      <c r="E16" s="1" t="s">
        <v>43</v>
      </c>
      <c r="F16" s="1" t="s">
        <v>42</v>
      </c>
      <c r="G16" s="1" t="s">
        <v>43</v>
      </c>
      <c r="H16" s="1" t="s">
        <v>44</v>
      </c>
      <c r="I16" s="1" t="s">
        <v>45</v>
      </c>
      <c r="J16" s="1">
        <f t="shared" si="0"/>
        <v>100</v>
      </c>
      <c r="K16" s="3">
        <v>1</v>
      </c>
      <c r="L16" s="4">
        <v>45.47</v>
      </c>
      <c r="M16" s="5">
        <v>4.3291000000000004</v>
      </c>
      <c r="N16">
        <v>99.62</v>
      </c>
      <c r="O16">
        <v>99.72</v>
      </c>
      <c r="P16" s="6">
        <v>0.99729999999999996</v>
      </c>
      <c r="Q16" s="6">
        <v>0.99770000000000003</v>
      </c>
      <c r="R16">
        <v>0.04</v>
      </c>
      <c r="S16">
        <v>0.08</v>
      </c>
      <c r="T16" s="7">
        <v>0</v>
      </c>
      <c r="U16" s="7">
        <v>0</v>
      </c>
      <c r="V16" s="7">
        <v>0</v>
      </c>
      <c r="W16" s="7">
        <v>0</v>
      </c>
      <c r="X16" s="6">
        <v>0.50129999999999997</v>
      </c>
      <c r="Y16" s="6">
        <v>0.1976</v>
      </c>
      <c r="Z16" s="4">
        <v>-10.53</v>
      </c>
      <c r="AA16" s="4">
        <v>-96.99</v>
      </c>
      <c r="AB16" s="6">
        <v>0.99970000000000003</v>
      </c>
      <c r="AC16" s="7">
        <v>100</v>
      </c>
      <c r="AD16" s="6">
        <v>0.88890000000000002</v>
      </c>
      <c r="AE16" s="6">
        <v>1.1999999999999999E-3</v>
      </c>
      <c r="AF16" s="6">
        <v>2.9999999999999997E-4</v>
      </c>
      <c r="AG16" s="7">
        <v>0</v>
      </c>
      <c r="AH16" s="7">
        <v>0</v>
      </c>
      <c r="AI16" s="7">
        <v>38</v>
      </c>
      <c r="AJ16" s="6">
        <v>0.99990000000000001</v>
      </c>
      <c r="AK16" s="7">
        <v>789501600</v>
      </c>
      <c r="AL16" s="5">
        <v>53.945</v>
      </c>
      <c r="AM16" s="5">
        <v>252.8724</v>
      </c>
      <c r="AN16" s="5">
        <v>969.30370000000005</v>
      </c>
    </row>
    <row r="17" spans="1:40" ht="16.5" x14ac:dyDescent="0.45">
      <c r="A17" s="1" t="s">
        <v>60</v>
      </c>
      <c r="B17" s="1" t="s">
        <v>61</v>
      </c>
      <c r="C17" s="1" t="s">
        <v>41</v>
      </c>
      <c r="D17" s="1" t="s">
        <v>42</v>
      </c>
      <c r="E17" s="1" t="s">
        <v>43</v>
      </c>
      <c r="F17" s="1" t="s">
        <v>42</v>
      </c>
      <c r="G17" s="1" t="s">
        <v>43</v>
      </c>
      <c r="H17" s="1" t="s">
        <v>46</v>
      </c>
      <c r="I17" s="1" t="s">
        <v>47</v>
      </c>
      <c r="J17" s="1">
        <f t="shared" si="0"/>
        <v>100</v>
      </c>
      <c r="K17" s="3">
        <v>1</v>
      </c>
      <c r="L17" s="4">
        <v>33.42</v>
      </c>
      <c r="M17" s="5">
        <v>2.0709</v>
      </c>
      <c r="N17">
        <v>99.71</v>
      </c>
      <c r="O17">
        <v>99.75</v>
      </c>
      <c r="P17" s="6">
        <v>0.99750000000000005</v>
      </c>
      <c r="Q17" s="6">
        <v>0.99750000000000005</v>
      </c>
      <c r="R17">
        <v>0</v>
      </c>
      <c r="S17">
        <v>0.09</v>
      </c>
      <c r="T17" s="7">
        <v>0</v>
      </c>
      <c r="U17" s="7">
        <v>0</v>
      </c>
      <c r="V17" s="7">
        <v>0</v>
      </c>
      <c r="W17" s="7">
        <v>0</v>
      </c>
      <c r="X17" s="6">
        <v>0.31069999999999998</v>
      </c>
      <c r="Y17" s="6">
        <v>0.11550000000000001</v>
      </c>
      <c r="Z17" s="4">
        <v>-8.9700000000000006</v>
      </c>
      <c r="AA17" s="4">
        <v>-99.01</v>
      </c>
      <c r="AB17" s="6">
        <v>0.99970000000000003</v>
      </c>
      <c r="AD17" s="3">
        <v>1</v>
      </c>
      <c r="AE17" s="6">
        <v>1.2999999999999999E-3</v>
      </c>
      <c r="AF17" s="6">
        <v>1E-4</v>
      </c>
      <c r="AG17" s="7">
        <v>0</v>
      </c>
      <c r="AH17" s="7">
        <v>0</v>
      </c>
      <c r="AI17" s="7">
        <v>42</v>
      </c>
      <c r="AJ17" s="6">
        <v>0.99990000000000001</v>
      </c>
      <c r="AK17" s="7">
        <v>789501600</v>
      </c>
      <c r="AL17" s="5">
        <v>36.168300000000002</v>
      </c>
      <c r="AM17" s="5">
        <v>143.72970000000001</v>
      </c>
      <c r="AN17" s="5">
        <v>435.33420000000001</v>
      </c>
    </row>
    <row r="18" spans="1:40" ht="16.5" x14ac:dyDescent="0.45">
      <c r="A18" s="1" t="s">
        <v>60</v>
      </c>
      <c r="B18" s="1" t="s">
        <v>61</v>
      </c>
      <c r="C18" s="1" t="s">
        <v>41</v>
      </c>
      <c r="D18" s="1" t="s">
        <v>42</v>
      </c>
      <c r="E18" s="1" t="s">
        <v>43</v>
      </c>
      <c r="F18" s="1" t="s">
        <v>42</v>
      </c>
      <c r="G18" s="1" t="s">
        <v>43</v>
      </c>
      <c r="H18" s="1" t="s">
        <v>48</v>
      </c>
      <c r="I18" s="1" t="s">
        <v>49</v>
      </c>
      <c r="J18" s="1">
        <f t="shared" si="0"/>
        <v>100</v>
      </c>
      <c r="K18" s="3">
        <v>1</v>
      </c>
      <c r="L18" s="4">
        <v>28.34</v>
      </c>
      <c r="M18" s="5">
        <v>3.1122000000000001</v>
      </c>
      <c r="N18">
        <v>99.570000000000007</v>
      </c>
      <c r="O18">
        <v>99.69</v>
      </c>
      <c r="P18" s="6">
        <v>0.99690000000000001</v>
      </c>
      <c r="Q18" s="6">
        <v>0.99690000000000001</v>
      </c>
      <c r="R18">
        <v>0.19</v>
      </c>
      <c r="S18">
        <v>0.09</v>
      </c>
      <c r="T18" s="7">
        <v>0</v>
      </c>
      <c r="U18" s="7">
        <v>0</v>
      </c>
      <c r="V18" s="7">
        <v>0</v>
      </c>
      <c r="W18" s="7">
        <v>0</v>
      </c>
      <c r="X18" s="6">
        <v>0.51690000000000003</v>
      </c>
      <c r="Y18" s="6">
        <v>0.1573</v>
      </c>
      <c r="Z18" s="4">
        <v>-9.83</v>
      </c>
      <c r="AA18" s="4">
        <v>-97.71</v>
      </c>
      <c r="AB18" s="6">
        <v>0.99960000000000004</v>
      </c>
      <c r="AC18" s="4">
        <v>85.71</v>
      </c>
      <c r="AD18" s="3">
        <v>0.9</v>
      </c>
      <c r="AE18" s="6">
        <v>1.5E-3</v>
      </c>
      <c r="AF18" s="6">
        <v>1E-3</v>
      </c>
      <c r="AG18" s="7">
        <v>0</v>
      </c>
      <c r="AH18" s="7">
        <v>0</v>
      </c>
      <c r="AI18" s="7">
        <v>22</v>
      </c>
      <c r="AJ18" s="6">
        <v>0.99960000000000004</v>
      </c>
      <c r="AK18" s="7">
        <v>789501600</v>
      </c>
      <c r="AL18" s="5">
        <v>42.263399999999997</v>
      </c>
      <c r="AM18" s="5">
        <v>188.43860000000001</v>
      </c>
      <c r="AN18" s="5">
        <v>694.93150000000003</v>
      </c>
    </row>
    <row r="19" spans="1:40" ht="16.5" x14ac:dyDescent="0.45">
      <c r="A19" s="1" t="s">
        <v>60</v>
      </c>
      <c r="B19" s="1" t="s">
        <v>61</v>
      </c>
      <c r="C19" s="1" t="s">
        <v>41</v>
      </c>
      <c r="D19" s="1" t="s">
        <v>50</v>
      </c>
      <c r="E19" s="1" t="s">
        <v>51</v>
      </c>
      <c r="F19" s="1" t="s">
        <v>50</v>
      </c>
      <c r="G19" s="1" t="s">
        <v>51</v>
      </c>
      <c r="H19" s="1" t="s">
        <v>52</v>
      </c>
      <c r="I19" s="1" t="s">
        <v>53</v>
      </c>
      <c r="J19" s="1">
        <f t="shared" si="0"/>
        <v>100</v>
      </c>
      <c r="K19" s="3">
        <v>1</v>
      </c>
      <c r="L19" s="4">
        <v>77.75</v>
      </c>
      <c r="M19" s="5">
        <v>4.6622000000000003</v>
      </c>
      <c r="N19">
        <v>99.64</v>
      </c>
      <c r="O19">
        <v>99.82</v>
      </c>
      <c r="P19" s="6">
        <v>0.998</v>
      </c>
      <c r="Q19" s="6">
        <v>0.998</v>
      </c>
      <c r="R19">
        <v>0.11</v>
      </c>
      <c r="S19">
        <v>0.12</v>
      </c>
      <c r="T19" s="7">
        <v>0</v>
      </c>
      <c r="U19" s="7">
        <v>0</v>
      </c>
      <c r="V19" s="7">
        <v>0</v>
      </c>
      <c r="W19" s="7">
        <v>0</v>
      </c>
      <c r="X19" s="6">
        <v>0.60670000000000002</v>
      </c>
      <c r="Y19" s="6">
        <v>0.504</v>
      </c>
      <c r="Z19" s="4">
        <v>-11.71</v>
      </c>
      <c r="AA19" s="4">
        <v>-94.08</v>
      </c>
      <c r="AB19" s="6">
        <v>0.99960000000000004</v>
      </c>
      <c r="AC19" s="7">
        <v>80</v>
      </c>
      <c r="AD19" s="3">
        <v>1</v>
      </c>
      <c r="AE19" s="6">
        <v>2E-3</v>
      </c>
      <c r="AF19" s="6">
        <v>3.8999999999999998E-3</v>
      </c>
      <c r="AG19" s="7">
        <v>0</v>
      </c>
      <c r="AH19" s="7">
        <v>0</v>
      </c>
      <c r="AI19" s="7">
        <v>84</v>
      </c>
      <c r="AJ19" s="6">
        <v>0.99990000000000001</v>
      </c>
      <c r="AK19" s="7">
        <v>789501600</v>
      </c>
      <c r="AL19" s="5">
        <v>93.258399999999995</v>
      </c>
      <c r="AM19" s="5">
        <v>450.34719999999999</v>
      </c>
      <c r="AN19" s="5">
        <v>904.64880000000005</v>
      </c>
    </row>
    <row r="20" spans="1:40" ht="16.5" x14ac:dyDescent="0.45">
      <c r="A20" s="1" t="s">
        <v>60</v>
      </c>
      <c r="B20" s="1" t="s">
        <v>61</v>
      </c>
      <c r="C20" s="1" t="s">
        <v>41</v>
      </c>
      <c r="D20" s="1" t="s">
        <v>50</v>
      </c>
      <c r="E20" s="1" t="s">
        <v>51</v>
      </c>
      <c r="F20" s="1" t="s">
        <v>50</v>
      </c>
      <c r="G20" s="1" t="s">
        <v>51</v>
      </c>
      <c r="H20" s="1" t="s">
        <v>54</v>
      </c>
      <c r="I20" s="1" t="s">
        <v>55</v>
      </c>
      <c r="J20" s="1">
        <f t="shared" si="0"/>
        <v>100</v>
      </c>
      <c r="K20" s="3">
        <v>1</v>
      </c>
      <c r="L20" s="4">
        <v>43.23</v>
      </c>
      <c r="M20" s="5">
        <v>3.0716999999999999</v>
      </c>
      <c r="N20">
        <v>99.67</v>
      </c>
      <c r="O20">
        <v>99.839999999999989</v>
      </c>
      <c r="P20" s="6">
        <v>0.99839999999999995</v>
      </c>
      <c r="Q20" s="6">
        <v>0.99839999999999995</v>
      </c>
      <c r="R20">
        <v>0</v>
      </c>
      <c r="S20">
        <v>0.1</v>
      </c>
      <c r="T20" s="7">
        <v>0</v>
      </c>
      <c r="U20" s="7">
        <v>0</v>
      </c>
      <c r="V20" s="7">
        <v>0</v>
      </c>
      <c r="W20" s="7">
        <v>0</v>
      </c>
      <c r="X20" s="6">
        <v>0.5171</v>
      </c>
      <c r="Y20" s="6">
        <v>0.33579999999999999</v>
      </c>
      <c r="Z20" s="4">
        <v>-10.63</v>
      </c>
      <c r="AA20" s="4">
        <v>-96.38</v>
      </c>
      <c r="AB20" s="6">
        <v>0.99939999999999996</v>
      </c>
      <c r="AD20" s="3">
        <v>1</v>
      </c>
      <c r="AE20" s="6">
        <v>2.2000000000000001E-3</v>
      </c>
      <c r="AF20" s="6">
        <v>5.0000000000000001E-3</v>
      </c>
      <c r="AG20" s="7">
        <v>0</v>
      </c>
      <c r="AH20" s="7">
        <v>0</v>
      </c>
      <c r="AI20" s="7">
        <v>47</v>
      </c>
      <c r="AJ20" s="3">
        <v>1</v>
      </c>
      <c r="AK20" s="7">
        <v>789501600</v>
      </c>
      <c r="AL20" s="5">
        <v>57.395000000000003</v>
      </c>
      <c r="AM20" s="5">
        <v>246.24039999999999</v>
      </c>
      <c r="AN20" s="5">
        <v>627.88350000000003</v>
      </c>
    </row>
    <row r="21" spans="1:40" ht="16.5" x14ac:dyDescent="0.45">
      <c r="A21" s="1" t="s">
        <v>60</v>
      </c>
      <c r="B21" s="1" t="s">
        <v>61</v>
      </c>
      <c r="C21" s="1" t="s">
        <v>41</v>
      </c>
      <c r="D21" s="1" t="s">
        <v>50</v>
      </c>
      <c r="E21" s="1" t="s">
        <v>51</v>
      </c>
      <c r="F21" s="1" t="s">
        <v>50</v>
      </c>
      <c r="G21" s="1" t="s">
        <v>51</v>
      </c>
      <c r="H21" s="1" t="s">
        <v>56</v>
      </c>
      <c r="I21" s="1" t="s">
        <v>57</v>
      </c>
      <c r="J21" s="1">
        <f t="shared" si="0"/>
        <v>100</v>
      </c>
      <c r="K21" s="3">
        <v>1</v>
      </c>
      <c r="L21" s="4">
        <v>73.05</v>
      </c>
      <c r="M21" s="5">
        <v>4.7336</v>
      </c>
      <c r="N21">
        <v>99.89</v>
      </c>
      <c r="O21">
        <v>99.83</v>
      </c>
      <c r="P21" s="6">
        <v>0.99829999999999997</v>
      </c>
      <c r="Q21" s="6">
        <v>0.99829999999999997</v>
      </c>
      <c r="R21">
        <v>0.08</v>
      </c>
      <c r="S21">
        <v>0.08</v>
      </c>
      <c r="T21" s="7">
        <v>0</v>
      </c>
      <c r="U21" s="7">
        <v>0</v>
      </c>
      <c r="V21" s="7">
        <v>0</v>
      </c>
      <c r="W21" s="7">
        <v>0</v>
      </c>
      <c r="X21" s="6">
        <v>0.6512</v>
      </c>
      <c r="Y21" s="6">
        <v>0.45679999999999998</v>
      </c>
      <c r="Z21" s="4">
        <v>-10.72</v>
      </c>
      <c r="AA21" s="4">
        <v>-93.95</v>
      </c>
      <c r="AB21" s="6">
        <v>0.99970000000000003</v>
      </c>
      <c r="AD21" s="6">
        <v>0.96970000000000001</v>
      </c>
      <c r="AE21" s="6">
        <v>3.0000000000000001E-3</v>
      </c>
      <c r="AF21" s="6">
        <v>9.7000000000000003E-3</v>
      </c>
      <c r="AG21" s="7">
        <v>0</v>
      </c>
      <c r="AH21" s="7">
        <v>0</v>
      </c>
      <c r="AI21" s="7">
        <v>37</v>
      </c>
      <c r="AJ21" s="3">
        <v>1</v>
      </c>
      <c r="AK21" s="7">
        <v>789501600</v>
      </c>
      <c r="AL21" s="5">
        <v>77.506600000000006</v>
      </c>
      <c r="AM21" s="5">
        <v>307.12580000000003</v>
      </c>
      <c r="AN21" s="5">
        <v>1019.7808</v>
      </c>
    </row>
    <row r="22" spans="1:40" ht="16.5" x14ac:dyDescent="0.45">
      <c r="A22" s="1" t="s">
        <v>60</v>
      </c>
      <c r="B22" s="1" t="s">
        <v>61</v>
      </c>
      <c r="C22" s="1" t="s">
        <v>41</v>
      </c>
      <c r="D22" s="1" t="s">
        <v>50</v>
      </c>
      <c r="E22" s="1" t="s">
        <v>51</v>
      </c>
      <c r="F22" s="1" t="s">
        <v>50</v>
      </c>
      <c r="G22" s="1" t="s">
        <v>51</v>
      </c>
      <c r="H22" s="1" t="s">
        <v>58</v>
      </c>
      <c r="I22" s="1" t="s">
        <v>59</v>
      </c>
      <c r="J22" s="1">
        <f t="shared" si="0"/>
        <v>100</v>
      </c>
      <c r="K22" s="3">
        <v>1</v>
      </c>
      <c r="L22" s="4">
        <v>51.39</v>
      </c>
      <c r="M22" s="5">
        <v>4.7519</v>
      </c>
      <c r="N22">
        <v>99.81</v>
      </c>
      <c r="O22">
        <v>99.92</v>
      </c>
      <c r="P22" s="6">
        <v>0.99909999999999999</v>
      </c>
      <c r="Q22" s="6">
        <v>0.99919999999999998</v>
      </c>
      <c r="R22">
        <v>6.9999999999999993E-2</v>
      </c>
      <c r="S22">
        <v>0.05</v>
      </c>
      <c r="T22" s="7">
        <v>0</v>
      </c>
      <c r="U22" s="7">
        <v>0</v>
      </c>
      <c r="V22" s="7">
        <v>0</v>
      </c>
      <c r="W22" s="7">
        <v>0</v>
      </c>
      <c r="X22" s="6">
        <v>0.53149999999999997</v>
      </c>
      <c r="Y22" s="6">
        <v>0.37940000000000002</v>
      </c>
      <c r="Z22" s="4">
        <v>-9.9499999999999993</v>
      </c>
      <c r="AA22" s="4">
        <v>-99.59</v>
      </c>
      <c r="AB22" s="6">
        <v>0.99980000000000002</v>
      </c>
      <c r="AD22" s="6">
        <v>0.88890000000000002</v>
      </c>
      <c r="AE22" s="6">
        <v>1.4E-3</v>
      </c>
      <c r="AF22" s="6">
        <v>4.0000000000000002E-4</v>
      </c>
      <c r="AG22" s="7">
        <v>0</v>
      </c>
      <c r="AH22" s="7">
        <v>0</v>
      </c>
      <c r="AI22" s="7">
        <v>37</v>
      </c>
      <c r="AJ22" s="3">
        <v>1</v>
      </c>
      <c r="AK22" s="7">
        <v>789501600</v>
      </c>
      <c r="AL22" s="5">
        <v>62.8033</v>
      </c>
      <c r="AM22" s="5">
        <v>349.73</v>
      </c>
      <c r="AN22" s="5">
        <v>970.7038</v>
      </c>
    </row>
    <row r="23" spans="1:40" ht="16.5" x14ac:dyDescent="0.45">
      <c r="A23" s="1" t="s">
        <v>61</v>
      </c>
      <c r="B23" s="1" t="s">
        <v>62</v>
      </c>
      <c r="C23" s="1" t="s">
        <v>41</v>
      </c>
      <c r="D23" s="1" t="s">
        <v>42</v>
      </c>
      <c r="E23" s="1" t="s">
        <v>43</v>
      </c>
      <c r="F23" s="1" t="s">
        <v>42</v>
      </c>
      <c r="G23" s="1" t="s">
        <v>43</v>
      </c>
      <c r="H23" s="1" t="s">
        <v>44</v>
      </c>
      <c r="I23" s="1" t="s">
        <v>45</v>
      </c>
      <c r="J23" s="1">
        <f t="shared" si="0"/>
        <v>100</v>
      </c>
      <c r="K23" s="3">
        <v>1</v>
      </c>
      <c r="L23" s="4">
        <v>42.35</v>
      </c>
      <c r="M23" s="5">
        <v>4.0217999999999998</v>
      </c>
      <c r="N23">
        <v>99.77000000000001</v>
      </c>
      <c r="O23">
        <v>99.76</v>
      </c>
      <c r="P23" s="6">
        <v>0.99760000000000004</v>
      </c>
      <c r="Q23" s="6">
        <v>0.99760000000000004</v>
      </c>
      <c r="R23">
        <v>6.9999999999999993E-2</v>
      </c>
      <c r="S23">
        <v>6.9999999999999993E-2</v>
      </c>
      <c r="T23" s="7">
        <v>0</v>
      </c>
      <c r="U23" s="7">
        <v>0</v>
      </c>
      <c r="V23" s="7">
        <v>0</v>
      </c>
      <c r="W23" s="7">
        <v>0</v>
      </c>
      <c r="X23" s="6">
        <v>0.49680000000000002</v>
      </c>
      <c r="Y23" s="6">
        <v>0.2079</v>
      </c>
      <c r="Z23" s="4">
        <v>-10.64</v>
      </c>
      <c r="AA23" s="4">
        <v>-97.31</v>
      </c>
      <c r="AB23" s="6">
        <v>0.99980000000000002</v>
      </c>
      <c r="AC23" s="4">
        <v>66.67</v>
      </c>
      <c r="AD23" s="3">
        <v>1</v>
      </c>
      <c r="AE23" s="6">
        <v>1.4E-3</v>
      </c>
      <c r="AF23" s="6">
        <v>4.0000000000000002E-4</v>
      </c>
      <c r="AG23" s="7">
        <v>0</v>
      </c>
      <c r="AH23" s="7">
        <v>0</v>
      </c>
      <c r="AI23" s="7">
        <v>37</v>
      </c>
      <c r="AJ23" s="6">
        <v>0.99990000000000001</v>
      </c>
      <c r="AK23" s="7">
        <v>789501600</v>
      </c>
      <c r="AL23" s="5">
        <v>54.703299999999999</v>
      </c>
      <c r="AM23" s="5">
        <v>219.49289999999999</v>
      </c>
      <c r="AN23" s="5">
        <v>926.53959999999995</v>
      </c>
    </row>
    <row r="24" spans="1:40" ht="16.5" x14ac:dyDescent="0.45">
      <c r="A24" s="1" t="s">
        <v>61</v>
      </c>
      <c r="B24" s="1" t="s">
        <v>62</v>
      </c>
      <c r="C24" s="1" t="s">
        <v>41</v>
      </c>
      <c r="D24" s="1" t="s">
        <v>42</v>
      </c>
      <c r="E24" s="1" t="s">
        <v>43</v>
      </c>
      <c r="F24" s="1" t="s">
        <v>42</v>
      </c>
      <c r="G24" s="1" t="s">
        <v>43</v>
      </c>
      <c r="H24" s="1" t="s">
        <v>46</v>
      </c>
      <c r="I24" s="1" t="s">
        <v>47</v>
      </c>
      <c r="J24" s="1">
        <f t="shared" si="0"/>
        <v>100</v>
      </c>
      <c r="K24" s="3">
        <v>1</v>
      </c>
      <c r="L24" s="4">
        <v>29.56</v>
      </c>
      <c r="M24" s="5">
        <v>2.6985999999999999</v>
      </c>
      <c r="N24">
        <v>99.89</v>
      </c>
      <c r="O24">
        <v>99.850000000000009</v>
      </c>
      <c r="P24" s="6">
        <v>0.99850000000000005</v>
      </c>
      <c r="Q24" s="6">
        <v>0.99850000000000005</v>
      </c>
      <c r="R24">
        <v>0.06</v>
      </c>
      <c r="S24">
        <v>0.12</v>
      </c>
      <c r="T24" s="7">
        <v>0</v>
      </c>
      <c r="U24" s="7">
        <v>0</v>
      </c>
      <c r="V24" s="7">
        <v>0</v>
      </c>
      <c r="W24" s="7">
        <v>0</v>
      </c>
      <c r="X24" s="6">
        <v>0.33169999999999999</v>
      </c>
      <c r="Y24" s="6">
        <v>0.11899999999999999</v>
      </c>
      <c r="Z24" s="4">
        <v>-9.26</v>
      </c>
      <c r="AA24" s="4">
        <v>-98.54</v>
      </c>
      <c r="AB24" s="6">
        <v>0.99990000000000001</v>
      </c>
      <c r="AD24" s="3">
        <v>0.8</v>
      </c>
      <c r="AE24" s="6">
        <v>1.5E-3</v>
      </c>
      <c r="AF24" s="6">
        <v>5.0000000000000001E-4</v>
      </c>
      <c r="AG24" s="7">
        <v>0</v>
      </c>
      <c r="AH24" s="7">
        <v>0</v>
      </c>
      <c r="AI24" s="7">
        <v>41</v>
      </c>
      <c r="AJ24" s="6">
        <v>0.99990000000000001</v>
      </c>
      <c r="AK24" s="7">
        <v>789501600</v>
      </c>
      <c r="AL24" s="5">
        <v>34.204900000000002</v>
      </c>
      <c r="AM24" s="5">
        <v>144.29660000000001</v>
      </c>
      <c r="AN24" s="5">
        <v>619.58019999999999</v>
      </c>
    </row>
    <row r="25" spans="1:40" ht="16.5" x14ac:dyDescent="0.45">
      <c r="A25" s="1" t="s">
        <v>61</v>
      </c>
      <c r="B25" s="1" t="s">
        <v>62</v>
      </c>
      <c r="C25" s="1" t="s">
        <v>41</v>
      </c>
      <c r="D25" s="1" t="s">
        <v>42</v>
      </c>
      <c r="E25" s="1" t="s">
        <v>43</v>
      </c>
      <c r="F25" s="1" t="s">
        <v>42</v>
      </c>
      <c r="G25" s="1" t="s">
        <v>43</v>
      </c>
      <c r="H25" s="1" t="s">
        <v>48</v>
      </c>
      <c r="I25" s="1" t="s">
        <v>49</v>
      </c>
      <c r="J25" s="1">
        <f t="shared" si="0"/>
        <v>100</v>
      </c>
      <c r="K25" s="3">
        <v>1</v>
      </c>
      <c r="L25" s="4">
        <v>30.69</v>
      </c>
      <c r="M25" s="5">
        <v>3.1758999999999999</v>
      </c>
      <c r="N25">
        <v>99.460000000000008</v>
      </c>
      <c r="O25">
        <v>99.72999999999999</v>
      </c>
      <c r="P25" s="6">
        <v>0.99729999999999996</v>
      </c>
      <c r="Q25" s="6">
        <v>0.99729999999999996</v>
      </c>
      <c r="R25">
        <v>0.18</v>
      </c>
      <c r="S25">
        <v>6.9999999999999993E-2</v>
      </c>
      <c r="T25" s="7">
        <v>0</v>
      </c>
      <c r="U25" s="7">
        <v>0</v>
      </c>
      <c r="V25" s="7">
        <v>0</v>
      </c>
      <c r="W25" s="7">
        <v>0</v>
      </c>
      <c r="X25" s="6">
        <v>0.48409999999999997</v>
      </c>
      <c r="Y25" s="6">
        <v>0.17510000000000001</v>
      </c>
      <c r="Z25" s="4">
        <v>-9.5299999999999994</v>
      </c>
      <c r="AA25" s="7">
        <v>-98</v>
      </c>
      <c r="AB25" s="6">
        <v>0.99980000000000002</v>
      </c>
      <c r="AC25" s="4">
        <v>94.12</v>
      </c>
      <c r="AD25" s="6">
        <v>0.95520000000000005</v>
      </c>
      <c r="AE25" s="6">
        <v>1.4E-3</v>
      </c>
      <c r="AF25" s="6">
        <v>1.1999999999999999E-3</v>
      </c>
      <c r="AG25" s="7">
        <v>0</v>
      </c>
      <c r="AH25" s="7">
        <v>0</v>
      </c>
      <c r="AI25" s="7">
        <v>47</v>
      </c>
      <c r="AJ25" s="6">
        <v>0.99970000000000003</v>
      </c>
      <c r="AK25" s="7">
        <v>789501600</v>
      </c>
      <c r="AL25" s="5">
        <v>45.523299999999999</v>
      </c>
      <c r="AM25" s="5">
        <v>197.61879999999999</v>
      </c>
      <c r="AN25" s="5">
        <v>708.51490000000001</v>
      </c>
    </row>
    <row r="26" spans="1:40" ht="16.5" x14ac:dyDescent="0.45">
      <c r="A26" s="1" t="s">
        <v>61</v>
      </c>
      <c r="B26" s="1" t="s">
        <v>62</v>
      </c>
      <c r="C26" s="1" t="s">
        <v>41</v>
      </c>
      <c r="D26" s="1" t="s">
        <v>50</v>
      </c>
      <c r="E26" s="1" t="s">
        <v>51</v>
      </c>
      <c r="F26" s="1" t="s">
        <v>50</v>
      </c>
      <c r="G26" s="1" t="s">
        <v>51</v>
      </c>
      <c r="H26" s="1" t="s">
        <v>52</v>
      </c>
      <c r="I26" s="1" t="s">
        <v>53</v>
      </c>
      <c r="J26" s="1">
        <f t="shared" si="0"/>
        <v>100</v>
      </c>
      <c r="K26" s="3">
        <v>1</v>
      </c>
      <c r="L26" s="4">
        <v>65.209999999999994</v>
      </c>
      <c r="M26" s="5">
        <v>4.7012</v>
      </c>
      <c r="N26">
        <v>99.69</v>
      </c>
      <c r="O26">
        <v>99.78</v>
      </c>
      <c r="P26" s="6">
        <v>0.99780000000000002</v>
      </c>
      <c r="Q26" s="6">
        <v>0.99770000000000003</v>
      </c>
      <c r="R26">
        <v>0.05</v>
      </c>
      <c r="S26">
        <v>0.09</v>
      </c>
      <c r="T26" s="7">
        <v>0</v>
      </c>
      <c r="U26" s="7">
        <v>0</v>
      </c>
      <c r="V26" s="7">
        <v>0</v>
      </c>
      <c r="W26" s="7">
        <v>0</v>
      </c>
      <c r="X26" s="6">
        <v>0.63819999999999999</v>
      </c>
      <c r="Y26" s="6">
        <v>0.49990000000000001</v>
      </c>
      <c r="Z26" s="4">
        <v>-11.9</v>
      </c>
      <c r="AA26" s="4">
        <v>-94.36</v>
      </c>
      <c r="AB26" s="6">
        <v>0.99950000000000006</v>
      </c>
      <c r="AC26" s="4">
        <v>85.71</v>
      </c>
      <c r="AD26" s="6">
        <v>0.66669999999999996</v>
      </c>
      <c r="AE26" s="6">
        <v>2.0999999999999999E-3</v>
      </c>
      <c r="AF26" s="6">
        <v>2.0999999999999999E-3</v>
      </c>
      <c r="AG26" s="7">
        <v>0</v>
      </c>
      <c r="AH26" s="7">
        <v>0</v>
      </c>
      <c r="AI26" s="7">
        <v>88</v>
      </c>
      <c r="AJ26" s="6">
        <v>0.99990000000000001</v>
      </c>
      <c r="AK26" s="7">
        <v>789501600</v>
      </c>
      <c r="AL26" s="5">
        <v>91.41</v>
      </c>
      <c r="AM26" s="5">
        <v>374.21120000000002</v>
      </c>
      <c r="AN26" s="5">
        <v>966.14580000000001</v>
      </c>
    </row>
    <row r="27" spans="1:40" ht="16.5" x14ac:dyDescent="0.45">
      <c r="A27" s="1" t="s">
        <v>61</v>
      </c>
      <c r="B27" s="1" t="s">
        <v>62</v>
      </c>
      <c r="C27" s="1" t="s">
        <v>41</v>
      </c>
      <c r="D27" s="1" t="s">
        <v>50</v>
      </c>
      <c r="E27" s="1" t="s">
        <v>51</v>
      </c>
      <c r="F27" s="1" t="s">
        <v>50</v>
      </c>
      <c r="G27" s="1" t="s">
        <v>51</v>
      </c>
      <c r="H27" s="1" t="s">
        <v>54</v>
      </c>
      <c r="I27" s="1" t="s">
        <v>55</v>
      </c>
      <c r="J27" s="1">
        <f t="shared" si="0"/>
        <v>100</v>
      </c>
      <c r="K27" s="3">
        <v>1</v>
      </c>
      <c r="L27" s="4">
        <v>39.64</v>
      </c>
      <c r="M27" s="5">
        <v>3.6337000000000002</v>
      </c>
      <c r="N27">
        <v>99.72999999999999</v>
      </c>
      <c r="O27">
        <v>99.89</v>
      </c>
      <c r="P27" s="6">
        <v>0.99890000000000001</v>
      </c>
      <c r="Q27" s="6">
        <v>0.999</v>
      </c>
      <c r="R27">
        <v>0.05</v>
      </c>
      <c r="S27">
        <v>0.06</v>
      </c>
      <c r="T27" s="7">
        <v>0</v>
      </c>
      <c r="U27" s="7">
        <v>0</v>
      </c>
      <c r="V27" s="7">
        <v>0</v>
      </c>
      <c r="W27" s="7">
        <v>0</v>
      </c>
      <c r="X27" s="6">
        <v>0.52790000000000004</v>
      </c>
      <c r="Y27" s="6">
        <v>0.33339999999999997</v>
      </c>
      <c r="Z27" s="4">
        <v>-10.43</v>
      </c>
      <c r="AA27" s="4">
        <v>-96.29</v>
      </c>
      <c r="AB27" s="6">
        <v>0.99980000000000002</v>
      </c>
      <c r="AD27" s="3">
        <v>1</v>
      </c>
      <c r="AE27" s="6">
        <v>2.3999999999999998E-3</v>
      </c>
      <c r="AF27" s="6">
        <v>6.1000000000000004E-3</v>
      </c>
      <c r="AG27" s="7">
        <v>0</v>
      </c>
      <c r="AH27" s="7">
        <v>0</v>
      </c>
      <c r="AI27" s="7">
        <v>34</v>
      </c>
      <c r="AJ27" s="3">
        <v>1</v>
      </c>
      <c r="AK27" s="7">
        <v>789501600</v>
      </c>
      <c r="AL27" s="5">
        <v>51.664999999999999</v>
      </c>
      <c r="AM27" s="5">
        <v>269.0609</v>
      </c>
      <c r="AN27" s="5">
        <v>754.07410000000004</v>
      </c>
    </row>
    <row r="28" spans="1:40" ht="16.5" x14ac:dyDescent="0.45">
      <c r="A28" s="1" t="s">
        <v>61</v>
      </c>
      <c r="B28" s="1" t="s">
        <v>62</v>
      </c>
      <c r="C28" s="1" t="s">
        <v>41</v>
      </c>
      <c r="D28" s="1" t="s">
        <v>50</v>
      </c>
      <c r="E28" s="1" t="s">
        <v>51</v>
      </c>
      <c r="F28" s="1" t="s">
        <v>50</v>
      </c>
      <c r="G28" s="1" t="s">
        <v>51</v>
      </c>
      <c r="H28" s="1" t="s">
        <v>56</v>
      </c>
      <c r="I28" s="1" t="s">
        <v>57</v>
      </c>
      <c r="J28" s="1">
        <f t="shared" si="0"/>
        <v>100</v>
      </c>
      <c r="K28" s="3">
        <v>1</v>
      </c>
      <c r="L28" s="4">
        <v>76.2</v>
      </c>
      <c r="M28" s="5">
        <v>5.2934999999999999</v>
      </c>
      <c r="N28">
        <v>99.72999999999999</v>
      </c>
      <c r="O28">
        <v>99.79</v>
      </c>
      <c r="P28" s="6">
        <v>0.99790000000000001</v>
      </c>
      <c r="Q28" s="6">
        <v>0.998</v>
      </c>
      <c r="R28">
        <v>0.04</v>
      </c>
      <c r="S28">
        <v>6.9999999999999993E-2</v>
      </c>
      <c r="T28" s="7">
        <v>0</v>
      </c>
      <c r="U28" s="7">
        <v>0</v>
      </c>
      <c r="V28" s="7">
        <v>0</v>
      </c>
      <c r="W28" s="7">
        <v>0</v>
      </c>
      <c r="X28" s="6">
        <v>0.7248</v>
      </c>
      <c r="Y28" s="6">
        <v>0.48809999999999998</v>
      </c>
      <c r="Z28" s="4">
        <v>-11.17</v>
      </c>
      <c r="AA28" s="4">
        <v>-92.91</v>
      </c>
      <c r="AB28" s="6">
        <v>0.99970000000000003</v>
      </c>
      <c r="AD28" s="6">
        <v>0.91669999999999996</v>
      </c>
      <c r="AE28" s="6">
        <v>3.3E-3</v>
      </c>
      <c r="AF28" s="6">
        <v>9.4999999999999998E-3</v>
      </c>
      <c r="AG28" s="7">
        <v>0</v>
      </c>
      <c r="AH28" s="7">
        <v>0</v>
      </c>
      <c r="AI28" s="7">
        <v>35</v>
      </c>
      <c r="AJ28" s="3">
        <v>1</v>
      </c>
      <c r="AK28" s="7">
        <v>789501600</v>
      </c>
      <c r="AL28" s="5">
        <v>86.4833</v>
      </c>
      <c r="AM28" s="5">
        <v>374.71300000000002</v>
      </c>
      <c r="AN28" s="5">
        <v>1099.088</v>
      </c>
    </row>
    <row r="29" spans="1:40" ht="16.5" x14ac:dyDescent="0.45">
      <c r="A29" s="1" t="s">
        <v>61</v>
      </c>
      <c r="B29" s="1" t="s">
        <v>62</v>
      </c>
      <c r="C29" s="1" t="s">
        <v>41</v>
      </c>
      <c r="D29" s="1" t="s">
        <v>50</v>
      </c>
      <c r="E29" s="1" t="s">
        <v>51</v>
      </c>
      <c r="F29" s="1" t="s">
        <v>50</v>
      </c>
      <c r="G29" s="1" t="s">
        <v>51</v>
      </c>
      <c r="H29" s="1" t="s">
        <v>58</v>
      </c>
      <c r="I29" s="1" t="s">
        <v>59</v>
      </c>
      <c r="J29" s="1">
        <f t="shared" si="0"/>
        <v>100</v>
      </c>
      <c r="K29" s="3">
        <v>1</v>
      </c>
      <c r="L29" s="4">
        <v>46.71</v>
      </c>
      <c r="M29" s="5">
        <v>4.4932999999999996</v>
      </c>
      <c r="N29">
        <v>99.67</v>
      </c>
      <c r="O29">
        <v>99.91</v>
      </c>
      <c r="P29" s="6">
        <v>0.99909999999999999</v>
      </c>
      <c r="Q29" s="6">
        <v>0.99919999999999998</v>
      </c>
      <c r="R29">
        <v>0.04</v>
      </c>
      <c r="S29">
        <v>0.05</v>
      </c>
      <c r="T29" s="7">
        <v>0</v>
      </c>
      <c r="U29" s="7">
        <v>0</v>
      </c>
      <c r="V29" s="7">
        <v>0</v>
      </c>
      <c r="W29" s="7">
        <v>0</v>
      </c>
      <c r="X29" s="6">
        <v>0.5282</v>
      </c>
      <c r="Y29" s="6">
        <v>0.35270000000000001</v>
      </c>
      <c r="Z29" s="4">
        <v>-10.039999999999999</v>
      </c>
      <c r="AA29" s="4">
        <v>-99.68</v>
      </c>
      <c r="AB29" s="6">
        <v>0.99970000000000003</v>
      </c>
      <c r="AD29" s="3">
        <v>0.9</v>
      </c>
      <c r="AE29" s="6">
        <v>1.2999999999999999E-3</v>
      </c>
      <c r="AF29" s="6">
        <v>6.9999999999999999E-4</v>
      </c>
      <c r="AG29" s="7">
        <v>0</v>
      </c>
      <c r="AH29" s="7">
        <v>0</v>
      </c>
      <c r="AI29" s="7">
        <v>32</v>
      </c>
      <c r="AJ29" s="3">
        <v>1</v>
      </c>
      <c r="AK29" s="7">
        <v>789501600</v>
      </c>
      <c r="AL29" s="5">
        <v>56.856699999999996</v>
      </c>
      <c r="AM29" s="5">
        <v>275.50819999999999</v>
      </c>
      <c r="AN29" s="5">
        <v>978.91539999999998</v>
      </c>
    </row>
    <row r="30" spans="1:40" ht="16.5" x14ac:dyDescent="0.45">
      <c r="A30" s="1" t="s">
        <v>62</v>
      </c>
      <c r="B30" s="1" t="s">
        <v>63</v>
      </c>
      <c r="C30" s="1" t="s">
        <v>41</v>
      </c>
      <c r="D30" s="1" t="s">
        <v>42</v>
      </c>
      <c r="E30" s="1" t="s">
        <v>43</v>
      </c>
      <c r="F30" s="1" t="s">
        <v>42</v>
      </c>
      <c r="G30" s="1" t="s">
        <v>43</v>
      </c>
      <c r="H30" s="1" t="s">
        <v>44</v>
      </c>
      <c r="I30" s="1" t="s">
        <v>45</v>
      </c>
      <c r="J30" s="1">
        <f t="shared" si="0"/>
        <v>100</v>
      </c>
      <c r="K30" s="3">
        <v>1</v>
      </c>
      <c r="L30" s="4">
        <v>44.57</v>
      </c>
      <c r="M30" s="5">
        <v>4.0179</v>
      </c>
      <c r="N30">
        <v>99.81</v>
      </c>
      <c r="O30">
        <v>99.7</v>
      </c>
      <c r="P30" s="6">
        <v>0.99709999999999999</v>
      </c>
      <c r="Q30" s="6">
        <v>0.99709999999999999</v>
      </c>
      <c r="R30">
        <v>0.08</v>
      </c>
      <c r="S30">
        <v>0.1</v>
      </c>
      <c r="T30" s="7">
        <v>0</v>
      </c>
      <c r="U30" s="7">
        <v>0</v>
      </c>
      <c r="V30" s="7">
        <v>0</v>
      </c>
      <c r="W30" s="7">
        <v>0</v>
      </c>
      <c r="X30" s="6">
        <v>0.49580000000000002</v>
      </c>
      <c r="Y30" s="6">
        <v>0.21379999999999999</v>
      </c>
      <c r="Z30" s="4">
        <v>-10.57</v>
      </c>
      <c r="AA30" s="4">
        <v>-97.34</v>
      </c>
      <c r="AB30" s="6">
        <v>0.99990000000000001</v>
      </c>
      <c r="AC30" s="7">
        <v>80</v>
      </c>
      <c r="AD30" s="3">
        <v>1</v>
      </c>
      <c r="AE30" s="6">
        <v>1.4E-3</v>
      </c>
      <c r="AF30" s="6">
        <v>2.9999999999999997E-4</v>
      </c>
      <c r="AG30" s="7">
        <v>0</v>
      </c>
      <c r="AH30" s="7">
        <v>0</v>
      </c>
      <c r="AI30" s="7">
        <v>35</v>
      </c>
      <c r="AJ30" s="6">
        <v>0.99990000000000001</v>
      </c>
      <c r="AK30" s="7">
        <v>789501600</v>
      </c>
      <c r="AL30" s="5">
        <v>54.970100000000002</v>
      </c>
      <c r="AM30" s="5">
        <v>241.1875</v>
      </c>
      <c r="AN30" s="5">
        <v>894.13120000000004</v>
      </c>
    </row>
    <row r="31" spans="1:40" ht="16.5" x14ac:dyDescent="0.45">
      <c r="A31" s="1" t="s">
        <v>62</v>
      </c>
      <c r="B31" s="1" t="s">
        <v>63</v>
      </c>
      <c r="C31" s="1" t="s">
        <v>41</v>
      </c>
      <c r="D31" s="1" t="s">
        <v>42</v>
      </c>
      <c r="E31" s="1" t="s">
        <v>43</v>
      </c>
      <c r="F31" s="1" t="s">
        <v>42</v>
      </c>
      <c r="G31" s="1" t="s">
        <v>43</v>
      </c>
      <c r="H31" s="1" t="s">
        <v>46</v>
      </c>
      <c r="I31" s="1" t="s">
        <v>47</v>
      </c>
      <c r="J31" s="1">
        <f t="shared" si="0"/>
        <v>100</v>
      </c>
      <c r="K31" s="3">
        <v>1</v>
      </c>
      <c r="L31" s="4">
        <v>28.54</v>
      </c>
      <c r="M31" s="5">
        <v>2.8841000000000001</v>
      </c>
      <c r="N31">
        <v>99.7</v>
      </c>
      <c r="O31">
        <v>99.79</v>
      </c>
      <c r="P31" s="6">
        <v>0.99790000000000001</v>
      </c>
      <c r="Q31" s="6">
        <v>0.99819999999999998</v>
      </c>
      <c r="R31">
        <v>0.06</v>
      </c>
      <c r="S31">
        <v>0.08</v>
      </c>
      <c r="T31" s="7">
        <v>0</v>
      </c>
      <c r="U31" s="7">
        <v>0</v>
      </c>
      <c r="V31" s="7">
        <v>0</v>
      </c>
      <c r="W31" s="7">
        <v>0</v>
      </c>
      <c r="X31" s="6">
        <v>0.34399999999999997</v>
      </c>
      <c r="Y31" s="6">
        <v>0.12330000000000001</v>
      </c>
      <c r="Z31" s="4">
        <v>-9.26</v>
      </c>
      <c r="AA31" s="4">
        <v>-98.72</v>
      </c>
      <c r="AB31" s="6">
        <v>0.99739999999999995</v>
      </c>
      <c r="AD31" s="3">
        <v>0.8</v>
      </c>
      <c r="AE31" s="6">
        <v>1.4E-3</v>
      </c>
      <c r="AF31" s="6">
        <v>1E-4</v>
      </c>
      <c r="AG31" s="7">
        <v>0</v>
      </c>
      <c r="AH31" s="7">
        <v>0</v>
      </c>
      <c r="AI31" s="7">
        <v>44</v>
      </c>
      <c r="AJ31" s="6">
        <v>0.99990000000000001</v>
      </c>
      <c r="AK31" s="7">
        <v>789501600</v>
      </c>
      <c r="AL31" s="5">
        <v>35.253399999999999</v>
      </c>
      <c r="AM31" s="5">
        <v>156.1386</v>
      </c>
      <c r="AN31" s="5">
        <v>645.16409999999996</v>
      </c>
    </row>
    <row r="32" spans="1:40" ht="16.5" x14ac:dyDescent="0.45">
      <c r="A32" s="1" t="s">
        <v>62</v>
      </c>
      <c r="B32" s="1" t="s">
        <v>63</v>
      </c>
      <c r="C32" s="1" t="s">
        <v>41</v>
      </c>
      <c r="D32" s="1" t="s">
        <v>42</v>
      </c>
      <c r="E32" s="1" t="s">
        <v>43</v>
      </c>
      <c r="F32" s="1" t="s">
        <v>42</v>
      </c>
      <c r="G32" s="1" t="s">
        <v>43</v>
      </c>
      <c r="H32" s="1" t="s">
        <v>48</v>
      </c>
      <c r="I32" s="1" t="s">
        <v>49</v>
      </c>
      <c r="J32" s="1">
        <f t="shared" si="0"/>
        <v>100</v>
      </c>
      <c r="K32" s="3">
        <v>1</v>
      </c>
      <c r="L32" s="4">
        <v>24.49</v>
      </c>
      <c r="M32" s="5">
        <v>3.1642999999999999</v>
      </c>
      <c r="N32">
        <v>99.429999999999993</v>
      </c>
      <c r="O32">
        <v>99.75</v>
      </c>
      <c r="P32" s="6">
        <v>0.99760000000000004</v>
      </c>
      <c r="Q32" s="6">
        <v>0.99780000000000002</v>
      </c>
      <c r="R32">
        <v>6.9999999999999993E-2</v>
      </c>
      <c r="S32">
        <v>0.09</v>
      </c>
      <c r="T32" s="7">
        <v>0</v>
      </c>
      <c r="U32" s="7">
        <v>0</v>
      </c>
      <c r="V32" s="7">
        <v>0</v>
      </c>
      <c r="W32" s="7">
        <v>0</v>
      </c>
      <c r="X32" s="6">
        <v>0.46949999999999997</v>
      </c>
      <c r="Y32" s="6">
        <v>0.16950000000000001</v>
      </c>
      <c r="Z32" s="4">
        <v>-9.48</v>
      </c>
      <c r="AA32" s="4">
        <v>-98.28</v>
      </c>
      <c r="AB32" s="6">
        <v>0.99950000000000006</v>
      </c>
      <c r="AC32" s="4">
        <v>91.67</v>
      </c>
      <c r="AD32" s="6">
        <v>0.92500000000000004</v>
      </c>
      <c r="AE32" s="6">
        <v>1.1999999999999999E-3</v>
      </c>
      <c r="AF32" s="6">
        <v>1E-3</v>
      </c>
      <c r="AG32" s="7">
        <v>0</v>
      </c>
      <c r="AH32" s="7">
        <v>0</v>
      </c>
      <c r="AI32" s="7">
        <v>31</v>
      </c>
      <c r="AJ32" s="6">
        <v>0.99970000000000003</v>
      </c>
      <c r="AK32" s="7">
        <v>789501600</v>
      </c>
      <c r="AL32" s="5">
        <v>41.078299999999999</v>
      </c>
      <c r="AM32" s="5">
        <v>174.05199999999999</v>
      </c>
      <c r="AN32" s="5">
        <v>719.39490000000001</v>
      </c>
    </row>
    <row r="33" spans="1:40" ht="16.5" x14ac:dyDescent="0.45">
      <c r="A33" s="1" t="s">
        <v>62</v>
      </c>
      <c r="B33" s="1" t="s">
        <v>63</v>
      </c>
      <c r="C33" s="1" t="s">
        <v>41</v>
      </c>
      <c r="D33" s="1" t="s">
        <v>50</v>
      </c>
      <c r="E33" s="1" t="s">
        <v>51</v>
      </c>
      <c r="F33" s="1" t="s">
        <v>50</v>
      </c>
      <c r="G33" s="1" t="s">
        <v>51</v>
      </c>
      <c r="H33" s="1" t="s">
        <v>52</v>
      </c>
      <c r="I33" s="1" t="s">
        <v>53</v>
      </c>
      <c r="J33" s="1">
        <f t="shared" si="0"/>
        <v>100</v>
      </c>
      <c r="K33" s="3">
        <v>1</v>
      </c>
      <c r="L33" s="4">
        <v>70.28</v>
      </c>
      <c r="M33" s="5">
        <v>4.9527000000000001</v>
      </c>
      <c r="N33">
        <v>99.51</v>
      </c>
      <c r="O33">
        <v>99.839999999999989</v>
      </c>
      <c r="P33" s="6">
        <v>0.99829999999999997</v>
      </c>
      <c r="Q33" s="6">
        <v>0.99829999999999997</v>
      </c>
      <c r="R33">
        <v>0.12</v>
      </c>
      <c r="S33">
        <v>0.11</v>
      </c>
      <c r="T33" s="7">
        <v>0</v>
      </c>
      <c r="U33" s="7">
        <v>0</v>
      </c>
      <c r="V33" s="7">
        <v>0</v>
      </c>
      <c r="W33" s="7">
        <v>0</v>
      </c>
      <c r="X33" s="6">
        <v>0.62519999999999998</v>
      </c>
      <c r="Y33" s="6">
        <v>0.5131</v>
      </c>
      <c r="Z33" s="4">
        <v>-11.76</v>
      </c>
      <c r="AA33" s="4">
        <v>-94.87</v>
      </c>
      <c r="AB33" s="6">
        <v>0.99960000000000004</v>
      </c>
      <c r="AC33" s="7">
        <v>50</v>
      </c>
      <c r="AD33" s="3">
        <v>0.8</v>
      </c>
      <c r="AE33" s="6">
        <v>2E-3</v>
      </c>
      <c r="AF33" s="6">
        <v>1.8E-3</v>
      </c>
      <c r="AG33" s="7">
        <v>0</v>
      </c>
      <c r="AH33" s="7">
        <v>0</v>
      </c>
      <c r="AI33" s="7">
        <v>87</v>
      </c>
      <c r="AJ33" s="6">
        <v>0.99990000000000001</v>
      </c>
      <c r="AK33" s="7">
        <v>789501600</v>
      </c>
      <c r="AL33" s="5">
        <v>93.451700000000002</v>
      </c>
      <c r="AM33" s="5">
        <v>382.0326</v>
      </c>
      <c r="AN33" s="5">
        <v>1037.6404</v>
      </c>
    </row>
    <row r="34" spans="1:40" ht="16.5" x14ac:dyDescent="0.45">
      <c r="A34" s="1" t="s">
        <v>62</v>
      </c>
      <c r="B34" s="1" t="s">
        <v>63</v>
      </c>
      <c r="C34" s="1" t="s">
        <v>41</v>
      </c>
      <c r="D34" s="1" t="s">
        <v>50</v>
      </c>
      <c r="E34" s="1" t="s">
        <v>51</v>
      </c>
      <c r="F34" s="1" t="s">
        <v>50</v>
      </c>
      <c r="G34" s="1" t="s">
        <v>51</v>
      </c>
      <c r="H34" s="1" t="s">
        <v>54</v>
      </c>
      <c r="I34" s="1" t="s">
        <v>55</v>
      </c>
      <c r="J34" s="1">
        <f t="shared" si="0"/>
        <v>100</v>
      </c>
      <c r="K34" s="3">
        <v>1</v>
      </c>
      <c r="L34" s="4">
        <v>32.33</v>
      </c>
      <c r="M34" s="5">
        <v>4.0340999999999996</v>
      </c>
      <c r="N34">
        <v>99.9</v>
      </c>
      <c r="O34">
        <v>99.87</v>
      </c>
      <c r="P34" s="6">
        <v>0.99870000000000003</v>
      </c>
      <c r="Q34" s="6">
        <v>0.99880000000000002</v>
      </c>
      <c r="R34">
        <v>0</v>
      </c>
      <c r="S34">
        <v>0.04</v>
      </c>
      <c r="T34" s="7">
        <v>0</v>
      </c>
      <c r="U34" s="7">
        <v>0</v>
      </c>
      <c r="V34" s="7">
        <v>0</v>
      </c>
      <c r="W34" s="7">
        <v>0</v>
      </c>
      <c r="X34" s="6">
        <v>0.58169999999999999</v>
      </c>
      <c r="Y34" s="6">
        <v>0.26960000000000001</v>
      </c>
      <c r="Z34" s="4">
        <v>-10.61</v>
      </c>
      <c r="AA34" s="4">
        <v>-97.09</v>
      </c>
      <c r="AB34" s="6">
        <v>0.99960000000000004</v>
      </c>
      <c r="AD34" s="3">
        <v>1</v>
      </c>
      <c r="AE34" s="6">
        <v>1.6999999999999999E-3</v>
      </c>
      <c r="AF34" s="6">
        <v>4.5999999999999999E-3</v>
      </c>
      <c r="AG34" s="7">
        <v>0</v>
      </c>
      <c r="AH34" s="7">
        <v>0</v>
      </c>
      <c r="AI34" s="7">
        <v>24</v>
      </c>
      <c r="AJ34" s="3">
        <v>1</v>
      </c>
      <c r="AK34" s="7">
        <v>789501600</v>
      </c>
      <c r="AL34" s="5">
        <v>48.953299999999999</v>
      </c>
      <c r="AM34" s="5">
        <v>235.876</v>
      </c>
      <c r="AN34" s="5">
        <v>902.74180000000001</v>
      </c>
    </row>
    <row r="35" spans="1:40" ht="16.5" x14ac:dyDescent="0.45">
      <c r="A35" s="1" t="s">
        <v>62</v>
      </c>
      <c r="B35" s="1" t="s">
        <v>63</v>
      </c>
      <c r="C35" s="1" t="s">
        <v>41</v>
      </c>
      <c r="D35" s="1" t="s">
        <v>50</v>
      </c>
      <c r="E35" s="1" t="s">
        <v>51</v>
      </c>
      <c r="F35" s="1" t="s">
        <v>50</v>
      </c>
      <c r="G35" s="1" t="s">
        <v>51</v>
      </c>
      <c r="H35" s="1" t="s">
        <v>56</v>
      </c>
      <c r="I35" s="1" t="s">
        <v>57</v>
      </c>
      <c r="J35" s="1">
        <f t="shared" si="0"/>
        <v>100</v>
      </c>
      <c r="K35" s="3">
        <v>1</v>
      </c>
      <c r="L35" s="4">
        <v>73.239999999999995</v>
      </c>
      <c r="M35" s="5">
        <v>5.5728999999999997</v>
      </c>
      <c r="N35">
        <v>99.839999999999989</v>
      </c>
      <c r="O35">
        <v>99.8</v>
      </c>
      <c r="P35" s="6">
        <v>0.998</v>
      </c>
      <c r="Q35" s="6">
        <v>0.998</v>
      </c>
      <c r="R35">
        <v>0.02</v>
      </c>
      <c r="S35">
        <v>0.08</v>
      </c>
      <c r="T35" s="7">
        <v>0</v>
      </c>
      <c r="U35" s="7">
        <v>0</v>
      </c>
      <c r="V35" s="7">
        <v>0</v>
      </c>
      <c r="W35" s="7">
        <v>0</v>
      </c>
      <c r="X35" s="6">
        <v>0.71440000000000003</v>
      </c>
      <c r="Y35" s="6">
        <v>0.51619999999999999</v>
      </c>
      <c r="Z35" s="4">
        <v>-11.13</v>
      </c>
      <c r="AA35" s="4">
        <v>-93.24</v>
      </c>
      <c r="AB35" s="6">
        <v>0.99970000000000003</v>
      </c>
      <c r="AD35" s="6">
        <v>0.85370000000000001</v>
      </c>
      <c r="AE35" s="6">
        <v>3.3E-3</v>
      </c>
      <c r="AF35" s="6">
        <v>9.4999999999999998E-3</v>
      </c>
      <c r="AG35" s="7">
        <v>0</v>
      </c>
      <c r="AH35" s="7">
        <v>0</v>
      </c>
      <c r="AI35" s="7">
        <v>54</v>
      </c>
      <c r="AJ35" s="3">
        <v>1</v>
      </c>
      <c r="AK35" s="7">
        <v>789501600</v>
      </c>
      <c r="AL35" s="5">
        <v>88.553299999999993</v>
      </c>
      <c r="AM35" s="5">
        <v>403.5179</v>
      </c>
      <c r="AN35" s="5">
        <v>1166.3043</v>
      </c>
    </row>
    <row r="36" spans="1:40" ht="16.5" x14ac:dyDescent="0.45">
      <c r="A36" s="1" t="s">
        <v>62</v>
      </c>
      <c r="B36" s="1" t="s">
        <v>63</v>
      </c>
      <c r="C36" s="1" t="s">
        <v>41</v>
      </c>
      <c r="D36" s="1" t="s">
        <v>50</v>
      </c>
      <c r="E36" s="1" t="s">
        <v>51</v>
      </c>
      <c r="F36" s="1" t="s">
        <v>50</v>
      </c>
      <c r="G36" s="1" t="s">
        <v>51</v>
      </c>
      <c r="H36" s="1" t="s">
        <v>58</v>
      </c>
      <c r="I36" s="1" t="s">
        <v>59</v>
      </c>
      <c r="J36" s="1">
        <f t="shared" si="0"/>
        <v>100</v>
      </c>
      <c r="K36" s="3">
        <v>1</v>
      </c>
      <c r="L36" s="4">
        <v>43.72</v>
      </c>
      <c r="M36" s="5">
        <v>5.0751999999999997</v>
      </c>
      <c r="N36">
        <v>99.7</v>
      </c>
      <c r="O36">
        <v>99.87</v>
      </c>
      <c r="P36" s="6">
        <v>0.99860000000000004</v>
      </c>
      <c r="Q36" s="6">
        <v>0.99860000000000004</v>
      </c>
      <c r="R36">
        <v>0</v>
      </c>
      <c r="S36">
        <v>0.04</v>
      </c>
      <c r="T36" s="7">
        <v>0</v>
      </c>
      <c r="U36" s="7">
        <v>0</v>
      </c>
      <c r="V36" s="7">
        <v>0</v>
      </c>
      <c r="W36" s="7">
        <v>0</v>
      </c>
      <c r="X36" s="6">
        <v>0.54759999999999998</v>
      </c>
      <c r="Y36" s="6">
        <v>0.3992</v>
      </c>
      <c r="Z36" s="4">
        <v>-9.9</v>
      </c>
      <c r="AA36" s="4">
        <v>-99.7</v>
      </c>
      <c r="AB36" s="6">
        <v>0.99970000000000003</v>
      </c>
      <c r="AD36" s="6">
        <v>0.55559999999999998</v>
      </c>
      <c r="AE36" s="6">
        <v>1.2999999999999999E-3</v>
      </c>
      <c r="AF36" s="6">
        <v>2.9999999999999997E-4</v>
      </c>
      <c r="AG36" s="7">
        <v>0</v>
      </c>
      <c r="AH36" s="7">
        <v>0</v>
      </c>
      <c r="AI36" s="7">
        <v>18</v>
      </c>
      <c r="AJ36" s="3">
        <v>1</v>
      </c>
      <c r="AK36" s="7">
        <v>789501600</v>
      </c>
      <c r="AL36" s="5">
        <v>58.388300000000001</v>
      </c>
      <c r="AM36" s="5">
        <v>274.03250000000003</v>
      </c>
      <c r="AN36" s="5">
        <v>1148.8339000000001</v>
      </c>
    </row>
    <row r="37" spans="1:40" ht="16.5" x14ac:dyDescent="0.45">
      <c r="A37" s="1" t="s">
        <v>63</v>
      </c>
      <c r="B37" s="1" t="s">
        <v>64</v>
      </c>
      <c r="C37" s="1" t="s">
        <v>41</v>
      </c>
      <c r="D37" s="1" t="s">
        <v>42</v>
      </c>
      <c r="E37" s="1" t="s">
        <v>43</v>
      </c>
      <c r="F37" s="1" t="s">
        <v>42</v>
      </c>
      <c r="G37" s="1" t="s">
        <v>43</v>
      </c>
      <c r="H37" s="1" t="s">
        <v>44</v>
      </c>
      <c r="I37" s="1" t="s">
        <v>45</v>
      </c>
      <c r="J37" s="1">
        <f t="shared" si="0"/>
        <v>100</v>
      </c>
      <c r="K37" s="3">
        <v>1</v>
      </c>
      <c r="L37" s="4">
        <v>38.67</v>
      </c>
      <c r="M37" s="5">
        <v>3.5465</v>
      </c>
      <c r="N37">
        <v>99.83</v>
      </c>
      <c r="O37">
        <v>99.75</v>
      </c>
      <c r="P37" s="6">
        <v>0.99739999999999995</v>
      </c>
      <c r="Q37" s="6">
        <v>0.99750000000000005</v>
      </c>
      <c r="R37">
        <v>0</v>
      </c>
      <c r="S37">
        <v>6.9999999999999993E-2</v>
      </c>
      <c r="T37" s="7">
        <v>0</v>
      </c>
      <c r="U37" s="7">
        <v>0</v>
      </c>
      <c r="V37" s="7">
        <v>0</v>
      </c>
      <c r="W37" s="7">
        <v>0</v>
      </c>
      <c r="X37" s="6">
        <v>0.45529999999999998</v>
      </c>
      <c r="Y37" s="6">
        <v>0.1888</v>
      </c>
      <c r="Z37" s="4">
        <v>-10.61</v>
      </c>
      <c r="AA37" s="4">
        <v>-97.77</v>
      </c>
      <c r="AB37" s="6">
        <v>0.99980000000000002</v>
      </c>
      <c r="AC37" s="7">
        <v>100</v>
      </c>
      <c r="AD37" s="3">
        <v>1</v>
      </c>
      <c r="AE37" s="6">
        <v>1.2999999999999999E-3</v>
      </c>
      <c r="AF37" s="6">
        <v>2.9999999999999997E-4</v>
      </c>
      <c r="AG37" s="7">
        <v>0</v>
      </c>
      <c r="AH37" s="7">
        <v>0</v>
      </c>
      <c r="AI37" s="7">
        <v>34</v>
      </c>
      <c r="AJ37" s="6">
        <v>0.99990000000000001</v>
      </c>
      <c r="AK37" s="7">
        <v>789501600</v>
      </c>
      <c r="AL37" s="5">
        <v>52.0351</v>
      </c>
      <c r="AM37" s="5">
        <v>232.1301</v>
      </c>
      <c r="AN37" s="5">
        <v>770.7029</v>
      </c>
    </row>
    <row r="38" spans="1:40" ht="16.5" x14ac:dyDescent="0.45">
      <c r="A38" s="1" t="s">
        <v>63</v>
      </c>
      <c r="B38" s="1" t="s">
        <v>64</v>
      </c>
      <c r="C38" s="1" t="s">
        <v>41</v>
      </c>
      <c r="D38" s="1" t="s">
        <v>42</v>
      </c>
      <c r="E38" s="1" t="s">
        <v>43</v>
      </c>
      <c r="F38" s="1" t="s">
        <v>42</v>
      </c>
      <c r="G38" s="1" t="s">
        <v>43</v>
      </c>
      <c r="H38" s="1" t="s">
        <v>46</v>
      </c>
      <c r="I38" s="1" t="s">
        <v>47</v>
      </c>
      <c r="J38" s="1">
        <f t="shared" si="0"/>
        <v>100</v>
      </c>
      <c r="K38" s="3">
        <v>1</v>
      </c>
      <c r="L38" s="4">
        <v>25.2</v>
      </c>
      <c r="M38" s="5">
        <v>3.1474000000000002</v>
      </c>
      <c r="N38">
        <v>99.850000000000009</v>
      </c>
      <c r="O38">
        <v>99.81</v>
      </c>
      <c r="P38" s="6">
        <v>0.99819999999999998</v>
      </c>
      <c r="Q38" s="6">
        <v>0.99819999999999998</v>
      </c>
      <c r="R38">
        <v>0</v>
      </c>
      <c r="S38">
        <v>0.09</v>
      </c>
      <c r="T38" s="7">
        <v>0</v>
      </c>
      <c r="U38" s="7">
        <v>0</v>
      </c>
      <c r="V38" s="7">
        <v>0</v>
      </c>
      <c r="W38" s="7">
        <v>0</v>
      </c>
      <c r="X38" s="6">
        <v>0.35639999999999999</v>
      </c>
      <c r="Y38" s="6">
        <v>0.1237</v>
      </c>
      <c r="Z38" s="4">
        <v>-9.0299999999999994</v>
      </c>
      <c r="AA38" s="4">
        <v>-99.11</v>
      </c>
      <c r="AB38" s="6">
        <v>0.99960000000000004</v>
      </c>
      <c r="AD38" s="3">
        <v>0</v>
      </c>
      <c r="AE38" s="6">
        <v>1.4E-3</v>
      </c>
      <c r="AF38" s="6">
        <v>1E-4</v>
      </c>
      <c r="AG38" s="7">
        <v>0</v>
      </c>
      <c r="AH38" s="7">
        <v>0</v>
      </c>
      <c r="AI38" s="7">
        <v>52</v>
      </c>
      <c r="AJ38" s="6">
        <v>0.99990000000000001</v>
      </c>
      <c r="AK38" s="7">
        <v>789501600</v>
      </c>
      <c r="AL38" s="5">
        <v>35.8917</v>
      </c>
      <c r="AM38" s="5">
        <v>157.13300000000001</v>
      </c>
      <c r="AN38" s="5">
        <v>721.40859999999998</v>
      </c>
    </row>
    <row r="39" spans="1:40" ht="16.5" x14ac:dyDescent="0.45">
      <c r="A39" s="1" t="s">
        <v>63</v>
      </c>
      <c r="B39" s="1" t="s">
        <v>64</v>
      </c>
      <c r="C39" s="1" t="s">
        <v>41</v>
      </c>
      <c r="D39" s="1" t="s">
        <v>42</v>
      </c>
      <c r="E39" s="1" t="s">
        <v>43</v>
      </c>
      <c r="F39" s="1" t="s">
        <v>42</v>
      </c>
      <c r="G39" s="1" t="s">
        <v>43</v>
      </c>
      <c r="H39" s="1" t="s">
        <v>48</v>
      </c>
      <c r="I39" s="1" t="s">
        <v>49</v>
      </c>
      <c r="J39" s="1">
        <f t="shared" si="0"/>
        <v>100</v>
      </c>
      <c r="K39" s="3">
        <v>1</v>
      </c>
      <c r="L39" s="4">
        <v>26.27</v>
      </c>
      <c r="M39" s="5">
        <v>2.9483999999999999</v>
      </c>
      <c r="N39">
        <v>99.59</v>
      </c>
      <c r="O39">
        <v>99.76</v>
      </c>
      <c r="P39" s="6">
        <v>0.99760000000000004</v>
      </c>
      <c r="Q39" s="6">
        <v>0.99750000000000005</v>
      </c>
      <c r="R39">
        <v>6.9999999999999993E-2</v>
      </c>
      <c r="S39">
        <v>0.12</v>
      </c>
      <c r="T39" s="7">
        <v>0</v>
      </c>
      <c r="U39" s="7">
        <v>0</v>
      </c>
      <c r="V39" s="7">
        <v>0</v>
      </c>
      <c r="W39" s="7">
        <v>0</v>
      </c>
      <c r="X39" s="6">
        <v>0.44230000000000003</v>
      </c>
      <c r="Y39" s="6">
        <v>0.1757</v>
      </c>
      <c r="Z39" s="4">
        <v>-9.08</v>
      </c>
      <c r="AA39" s="4">
        <v>-98.15</v>
      </c>
      <c r="AB39" s="6">
        <v>0.99919999999999998</v>
      </c>
      <c r="AC39" s="4">
        <v>92.86</v>
      </c>
      <c r="AD39" s="6">
        <v>0.93100000000000005</v>
      </c>
      <c r="AE39" s="6">
        <v>1.2999999999999999E-3</v>
      </c>
      <c r="AF39" s="6">
        <v>3.0999999999999999E-3</v>
      </c>
      <c r="AG39" s="7">
        <v>0</v>
      </c>
      <c r="AH39" s="7">
        <v>0</v>
      </c>
      <c r="AI39" s="7">
        <v>33</v>
      </c>
      <c r="AJ39" s="6">
        <v>0.99960000000000004</v>
      </c>
      <c r="AK39" s="7">
        <v>789501600</v>
      </c>
      <c r="AL39" s="5">
        <v>41.173299999999998</v>
      </c>
      <c r="AM39" s="5">
        <v>187.3656</v>
      </c>
      <c r="AN39" s="5">
        <v>651.56439999999998</v>
      </c>
    </row>
    <row r="40" spans="1:40" ht="16.5" x14ac:dyDescent="0.45">
      <c r="A40" s="1" t="s">
        <v>63</v>
      </c>
      <c r="B40" s="1" t="s">
        <v>64</v>
      </c>
      <c r="C40" s="1" t="s">
        <v>41</v>
      </c>
      <c r="D40" s="1" t="s">
        <v>50</v>
      </c>
      <c r="E40" s="1" t="s">
        <v>51</v>
      </c>
      <c r="F40" s="1" t="s">
        <v>50</v>
      </c>
      <c r="G40" s="1" t="s">
        <v>51</v>
      </c>
      <c r="H40" s="1" t="s">
        <v>52</v>
      </c>
      <c r="I40" s="1" t="s">
        <v>53</v>
      </c>
      <c r="J40" s="1">
        <f t="shared" si="0"/>
        <v>100</v>
      </c>
      <c r="K40" s="3">
        <v>1</v>
      </c>
      <c r="L40" s="4">
        <v>65.239999999999995</v>
      </c>
      <c r="M40" s="5">
        <v>5.4090999999999996</v>
      </c>
      <c r="N40">
        <v>99.7</v>
      </c>
      <c r="O40">
        <v>99.839999999999989</v>
      </c>
      <c r="P40" s="6">
        <v>0.99839999999999995</v>
      </c>
      <c r="Q40" s="6">
        <v>0.99860000000000004</v>
      </c>
      <c r="R40">
        <v>0.12</v>
      </c>
      <c r="S40">
        <v>0.16999999999999998</v>
      </c>
      <c r="T40" s="7">
        <v>0</v>
      </c>
      <c r="U40" s="7">
        <v>0</v>
      </c>
      <c r="V40" s="7">
        <v>0</v>
      </c>
      <c r="W40" s="7">
        <v>0</v>
      </c>
      <c r="X40" s="6">
        <v>0.61409999999999998</v>
      </c>
      <c r="Y40" s="6">
        <v>0.499</v>
      </c>
      <c r="Z40" s="4">
        <v>-11.61</v>
      </c>
      <c r="AA40" s="4">
        <v>-95.19</v>
      </c>
      <c r="AB40" s="6">
        <v>0.99950000000000006</v>
      </c>
      <c r="AC40" s="7">
        <v>0</v>
      </c>
      <c r="AD40" s="3">
        <v>1</v>
      </c>
      <c r="AE40" s="6">
        <v>2.0999999999999999E-3</v>
      </c>
      <c r="AF40" s="6">
        <v>2.5000000000000001E-3</v>
      </c>
      <c r="AG40" s="7">
        <v>0</v>
      </c>
      <c r="AH40" s="7">
        <v>0</v>
      </c>
      <c r="AI40" s="7">
        <v>95</v>
      </c>
      <c r="AJ40" s="6">
        <v>0.99990000000000001</v>
      </c>
      <c r="AK40" s="7">
        <v>789501600</v>
      </c>
      <c r="AL40" s="5">
        <v>92.786699999999996</v>
      </c>
      <c r="AM40" s="5">
        <v>384.15870000000001</v>
      </c>
      <c r="AN40" s="5">
        <v>1162.4673</v>
      </c>
    </row>
    <row r="41" spans="1:40" ht="16.5" x14ac:dyDescent="0.45">
      <c r="A41" s="1" t="s">
        <v>63</v>
      </c>
      <c r="B41" s="1" t="s">
        <v>64</v>
      </c>
      <c r="C41" s="1" t="s">
        <v>41</v>
      </c>
      <c r="D41" s="1" t="s">
        <v>50</v>
      </c>
      <c r="E41" s="1" t="s">
        <v>51</v>
      </c>
      <c r="F41" s="1" t="s">
        <v>50</v>
      </c>
      <c r="G41" s="1" t="s">
        <v>51</v>
      </c>
      <c r="H41" s="1" t="s">
        <v>54</v>
      </c>
      <c r="I41" s="1" t="s">
        <v>55</v>
      </c>
      <c r="J41" s="1">
        <f t="shared" si="0"/>
        <v>100</v>
      </c>
      <c r="K41" s="3">
        <v>1</v>
      </c>
      <c r="L41" s="4">
        <v>30.9</v>
      </c>
      <c r="M41" s="5">
        <v>4.4917999999999996</v>
      </c>
      <c r="N41">
        <v>99.660000000000011</v>
      </c>
      <c r="O41">
        <v>99.91</v>
      </c>
      <c r="P41" s="6">
        <v>0.999</v>
      </c>
      <c r="Q41" s="6">
        <v>0.99909999999999999</v>
      </c>
      <c r="R41">
        <v>0.05</v>
      </c>
      <c r="S41">
        <v>0.04</v>
      </c>
      <c r="T41" s="7">
        <v>0</v>
      </c>
      <c r="U41" s="7">
        <v>0</v>
      </c>
      <c r="V41" s="7">
        <v>0</v>
      </c>
      <c r="W41" s="7">
        <v>0</v>
      </c>
      <c r="X41" s="6">
        <v>0.63749999999999996</v>
      </c>
      <c r="Y41" s="6">
        <v>0.29899999999999999</v>
      </c>
      <c r="Z41" s="4">
        <v>-10.82</v>
      </c>
      <c r="AA41" s="4">
        <v>-97.09</v>
      </c>
      <c r="AB41" s="6">
        <v>0.99939999999999996</v>
      </c>
      <c r="AD41" s="3">
        <v>1</v>
      </c>
      <c r="AE41" s="6">
        <v>2.0999999999999999E-3</v>
      </c>
      <c r="AF41" s="6">
        <v>2.5999999999999999E-3</v>
      </c>
      <c r="AG41" s="7">
        <v>0</v>
      </c>
      <c r="AH41" s="7">
        <v>0</v>
      </c>
      <c r="AI41" s="7">
        <v>36</v>
      </c>
      <c r="AJ41" s="3">
        <v>1</v>
      </c>
      <c r="AK41" s="7">
        <v>789501600</v>
      </c>
      <c r="AL41" s="5">
        <v>50.296599999999998</v>
      </c>
      <c r="AM41" s="5">
        <v>226.42840000000001</v>
      </c>
      <c r="AN41" s="5">
        <v>1032.1010000000001</v>
      </c>
    </row>
    <row r="42" spans="1:40" ht="16.5" x14ac:dyDescent="0.45">
      <c r="A42" s="1" t="s">
        <v>63</v>
      </c>
      <c r="B42" s="1" t="s">
        <v>64</v>
      </c>
      <c r="C42" s="1" t="s">
        <v>41</v>
      </c>
      <c r="D42" s="1" t="s">
        <v>50</v>
      </c>
      <c r="E42" s="1" t="s">
        <v>51</v>
      </c>
      <c r="F42" s="1" t="s">
        <v>50</v>
      </c>
      <c r="G42" s="1" t="s">
        <v>51</v>
      </c>
      <c r="H42" s="1" t="s">
        <v>56</v>
      </c>
      <c r="I42" s="1" t="s">
        <v>57</v>
      </c>
      <c r="J42" s="1">
        <f t="shared" si="0"/>
        <v>100</v>
      </c>
      <c r="K42" s="3">
        <v>1</v>
      </c>
      <c r="L42" s="4">
        <v>74.5</v>
      </c>
      <c r="M42" s="5">
        <v>5.7108999999999996</v>
      </c>
      <c r="N42">
        <v>99.76</v>
      </c>
      <c r="O42">
        <v>99.86</v>
      </c>
      <c r="P42" s="6">
        <v>0.99870000000000003</v>
      </c>
      <c r="Q42" s="6">
        <v>0.99870000000000003</v>
      </c>
      <c r="R42">
        <v>0.02</v>
      </c>
      <c r="S42">
        <v>6.9999999999999993E-2</v>
      </c>
      <c r="T42" s="7">
        <v>0</v>
      </c>
      <c r="U42" s="7">
        <v>0</v>
      </c>
      <c r="V42" s="7">
        <v>0</v>
      </c>
      <c r="W42" s="7">
        <v>0</v>
      </c>
      <c r="X42" s="6">
        <v>0.72699999999999998</v>
      </c>
      <c r="Y42" s="6">
        <v>0.53990000000000005</v>
      </c>
      <c r="Z42" s="4">
        <v>-11.24</v>
      </c>
      <c r="AA42" s="4">
        <v>-93.52</v>
      </c>
      <c r="AB42" s="6">
        <v>0.99980000000000002</v>
      </c>
      <c r="AD42" s="6">
        <v>0.96879999999999999</v>
      </c>
      <c r="AE42" s="6">
        <v>3.8E-3</v>
      </c>
      <c r="AF42" s="6">
        <v>1.24E-2</v>
      </c>
      <c r="AG42" s="7">
        <v>0</v>
      </c>
      <c r="AH42" s="7">
        <v>0</v>
      </c>
      <c r="AI42" s="7">
        <v>42</v>
      </c>
      <c r="AJ42" s="3">
        <v>1</v>
      </c>
      <c r="AK42" s="7">
        <v>789501600</v>
      </c>
      <c r="AL42" s="5">
        <v>89.038300000000007</v>
      </c>
      <c r="AM42" s="5">
        <v>366.07929999999999</v>
      </c>
      <c r="AN42" s="5">
        <v>1245.2741000000001</v>
      </c>
    </row>
    <row r="43" spans="1:40" ht="16.5" x14ac:dyDescent="0.45">
      <c r="A43" s="1" t="s">
        <v>63</v>
      </c>
      <c r="B43" s="1" t="s">
        <v>64</v>
      </c>
      <c r="C43" s="1" t="s">
        <v>41</v>
      </c>
      <c r="D43" s="1" t="s">
        <v>50</v>
      </c>
      <c r="E43" s="1" t="s">
        <v>51</v>
      </c>
      <c r="F43" s="1" t="s">
        <v>50</v>
      </c>
      <c r="G43" s="1" t="s">
        <v>51</v>
      </c>
      <c r="H43" s="1" t="s">
        <v>58</v>
      </c>
      <c r="I43" s="1" t="s">
        <v>59</v>
      </c>
      <c r="J43" s="1">
        <f t="shared" si="0"/>
        <v>100</v>
      </c>
      <c r="K43" s="3">
        <v>1</v>
      </c>
      <c r="L43" s="4">
        <v>43.24</v>
      </c>
      <c r="M43" s="5">
        <v>4.8272000000000004</v>
      </c>
      <c r="N43">
        <v>99.850000000000009</v>
      </c>
      <c r="O43">
        <v>99.839999999999989</v>
      </c>
      <c r="P43" s="6">
        <v>0.99839999999999995</v>
      </c>
      <c r="Q43" s="6">
        <v>0.99839999999999995</v>
      </c>
      <c r="R43">
        <v>0</v>
      </c>
      <c r="S43">
        <v>0.06</v>
      </c>
      <c r="T43" s="7">
        <v>0</v>
      </c>
      <c r="U43" s="7">
        <v>0</v>
      </c>
      <c r="V43" s="7">
        <v>0</v>
      </c>
      <c r="W43" s="7">
        <v>0</v>
      </c>
      <c r="X43" s="6">
        <v>0.51910000000000001</v>
      </c>
      <c r="Y43" s="6">
        <v>0.40379999999999999</v>
      </c>
      <c r="Z43" s="4">
        <v>-9.77</v>
      </c>
      <c r="AA43" s="4">
        <v>-99.92</v>
      </c>
      <c r="AB43" s="6">
        <v>0.99980000000000002</v>
      </c>
      <c r="AD43" s="3">
        <v>0.8</v>
      </c>
      <c r="AE43" s="6">
        <v>1.2999999999999999E-3</v>
      </c>
      <c r="AF43" s="6">
        <v>8.9999999999999998E-4</v>
      </c>
      <c r="AG43" s="7">
        <v>0</v>
      </c>
      <c r="AH43" s="7">
        <v>0</v>
      </c>
      <c r="AI43" s="7">
        <v>31</v>
      </c>
      <c r="AJ43" s="3">
        <v>1</v>
      </c>
      <c r="AK43" s="7">
        <v>789501600</v>
      </c>
      <c r="AL43" s="5">
        <v>59.133400000000002</v>
      </c>
      <c r="AM43" s="5">
        <v>294.05939999999998</v>
      </c>
      <c r="AN43" s="5">
        <v>1069.2256</v>
      </c>
    </row>
    <row r="44" spans="1:40" ht="16.5" x14ac:dyDescent="0.45">
      <c r="A44" s="1" t="s">
        <v>64</v>
      </c>
      <c r="B44" s="1" t="s">
        <v>65</v>
      </c>
      <c r="C44" s="1" t="s">
        <v>41</v>
      </c>
      <c r="D44" s="1" t="s">
        <v>42</v>
      </c>
      <c r="E44" s="1" t="s">
        <v>43</v>
      </c>
      <c r="F44" s="1" t="s">
        <v>42</v>
      </c>
      <c r="G44" s="1" t="s">
        <v>43</v>
      </c>
      <c r="H44" s="1" t="s">
        <v>44</v>
      </c>
      <c r="I44" s="1" t="s">
        <v>45</v>
      </c>
      <c r="J44" s="1">
        <f t="shared" si="0"/>
        <v>100</v>
      </c>
      <c r="K44" s="3">
        <v>1</v>
      </c>
      <c r="L44" s="4">
        <v>30.31</v>
      </c>
      <c r="M44" s="5">
        <v>3.3435999999999999</v>
      </c>
      <c r="N44">
        <v>99.86</v>
      </c>
      <c r="O44">
        <v>99.75</v>
      </c>
      <c r="P44" s="6">
        <v>0.99739999999999995</v>
      </c>
      <c r="Q44" s="6">
        <v>0.99739999999999995</v>
      </c>
      <c r="R44">
        <v>0</v>
      </c>
      <c r="S44">
        <v>0.05</v>
      </c>
      <c r="T44" s="7">
        <v>0</v>
      </c>
      <c r="U44" s="7">
        <v>0</v>
      </c>
      <c r="V44" s="7">
        <v>0</v>
      </c>
      <c r="W44" s="7">
        <v>0</v>
      </c>
      <c r="X44" s="6">
        <v>0.43669999999999998</v>
      </c>
      <c r="Y44" s="6">
        <v>0.1673</v>
      </c>
      <c r="Z44" s="4">
        <v>-10.48</v>
      </c>
      <c r="AA44" s="4">
        <v>-98.31</v>
      </c>
      <c r="AB44" s="6">
        <v>0.99970000000000003</v>
      </c>
      <c r="AD44" s="6">
        <v>0.88890000000000002</v>
      </c>
      <c r="AE44" s="6">
        <v>1.4E-3</v>
      </c>
      <c r="AF44" s="6">
        <v>2.0000000000000001E-4</v>
      </c>
      <c r="AG44" s="7">
        <v>0</v>
      </c>
      <c r="AH44" s="7">
        <v>0</v>
      </c>
      <c r="AI44" s="7">
        <v>41</v>
      </c>
      <c r="AJ44" s="6">
        <v>0.99990000000000001</v>
      </c>
      <c r="AK44" s="7">
        <v>789501600</v>
      </c>
      <c r="AL44" s="5">
        <v>45.265000000000001</v>
      </c>
      <c r="AM44" s="5">
        <v>197.2209</v>
      </c>
      <c r="AN44" s="5">
        <v>749.09310000000005</v>
      </c>
    </row>
    <row r="45" spans="1:40" ht="16.5" x14ac:dyDescent="0.45">
      <c r="A45" s="1" t="s">
        <v>64</v>
      </c>
      <c r="B45" s="1" t="s">
        <v>65</v>
      </c>
      <c r="C45" s="1" t="s">
        <v>41</v>
      </c>
      <c r="D45" s="1" t="s">
        <v>42</v>
      </c>
      <c r="E45" s="1" t="s">
        <v>43</v>
      </c>
      <c r="F45" s="1" t="s">
        <v>42</v>
      </c>
      <c r="G45" s="1" t="s">
        <v>43</v>
      </c>
      <c r="H45" s="1" t="s">
        <v>46</v>
      </c>
      <c r="I45" s="1" t="s">
        <v>47</v>
      </c>
      <c r="J45" s="1">
        <f t="shared" si="0"/>
        <v>100</v>
      </c>
      <c r="K45" s="3">
        <v>1</v>
      </c>
      <c r="L45" s="4">
        <v>25.63</v>
      </c>
      <c r="M45" s="5">
        <v>3.8620999999999999</v>
      </c>
      <c r="N45">
        <v>99.77000000000001</v>
      </c>
      <c r="O45">
        <v>99.81</v>
      </c>
      <c r="P45" s="6">
        <v>0.99809999999999999</v>
      </c>
      <c r="Q45" s="6">
        <v>0.99809999999999999</v>
      </c>
      <c r="R45">
        <v>0.12</v>
      </c>
      <c r="S45">
        <v>0.08</v>
      </c>
      <c r="T45" s="7">
        <v>0</v>
      </c>
      <c r="U45" s="7">
        <v>0</v>
      </c>
      <c r="V45" s="7">
        <v>0</v>
      </c>
      <c r="W45" s="7">
        <v>0</v>
      </c>
      <c r="X45" s="6">
        <v>0.36720000000000003</v>
      </c>
      <c r="Y45" s="6">
        <v>0.14729999999999999</v>
      </c>
      <c r="Z45" s="4">
        <v>-8.89</v>
      </c>
      <c r="AA45" s="4">
        <v>-98.78</v>
      </c>
      <c r="AB45" s="6">
        <v>0.99960000000000004</v>
      </c>
      <c r="AD45" s="3">
        <v>0</v>
      </c>
      <c r="AE45" s="6">
        <v>1.8E-3</v>
      </c>
      <c r="AF45" s="6">
        <v>5.9999999999999995E-4</v>
      </c>
      <c r="AG45" s="7">
        <v>0</v>
      </c>
      <c r="AH45" s="7">
        <v>0</v>
      </c>
      <c r="AI45" s="7">
        <v>60</v>
      </c>
      <c r="AJ45" s="6">
        <v>0.99990000000000001</v>
      </c>
      <c r="AK45" s="7">
        <v>789501600</v>
      </c>
      <c r="AL45" s="5">
        <v>36.0017</v>
      </c>
      <c r="AM45" s="5">
        <v>190.70240000000001</v>
      </c>
      <c r="AN45" s="5">
        <v>910.19159999999999</v>
      </c>
    </row>
    <row r="46" spans="1:40" ht="16.5" x14ac:dyDescent="0.45">
      <c r="A46" s="1" t="s">
        <v>64</v>
      </c>
      <c r="B46" s="1" t="s">
        <v>65</v>
      </c>
      <c r="C46" s="1" t="s">
        <v>41</v>
      </c>
      <c r="D46" s="1" t="s">
        <v>42</v>
      </c>
      <c r="E46" s="1" t="s">
        <v>43</v>
      </c>
      <c r="F46" s="1" t="s">
        <v>42</v>
      </c>
      <c r="G46" s="1" t="s">
        <v>43</v>
      </c>
      <c r="H46" s="1" t="s">
        <v>48</v>
      </c>
      <c r="I46" s="1" t="s">
        <v>49</v>
      </c>
      <c r="J46" s="1">
        <f t="shared" si="0"/>
        <v>100</v>
      </c>
      <c r="K46" s="3">
        <v>1</v>
      </c>
      <c r="L46" s="4">
        <v>22.26</v>
      </c>
      <c r="M46" s="5">
        <v>3.8188</v>
      </c>
      <c r="N46">
        <v>99.67</v>
      </c>
      <c r="O46">
        <v>99.63</v>
      </c>
      <c r="P46" s="6">
        <v>0.99619999999999997</v>
      </c>
      <c r="Q46" s="6">
        <v>0.99619999999999997</v>
      </c>
      <c r="R46">
        <v>0.16</v>
      </c>
      <c r="S46">
        <v>0.13</v>
      </c>
      <c r="T46" s="7">
        <v>0</v>
      </c>
      <c r="U46" s="7">
        <v>0</v>
      </c>
      <c r="V46" s="7">
        <v>0</v>
      </c>
      <c r="W46" s="7">
        <v>0</v>
      </c>
      <c r="X46" s="6">
        <v>0.49790000000000001</v>
      </c>
      <c r="Y46" s="6">
        <v>0.1704</v>
      </c>
      <c r="Z46" s="4">
        <v>-9.44</v>
      </c>
      <c r="AA46" s="4">
        <v>-98.42</v>
      </c>
      <c r="AB46" s="6">
        <v>0.99950000000000006</v>
      </c>
      <c r="AC46" s="4">
        <v>84.21</v>
      </c>
      <c r="AD46" s="6">
        <v>0.94740000000000002</v>
      </c>
      <c r="AE46" s="6">
        <v>1.5E-3</v>
      </c>
      <c r="AF46" s="6">
        <v>1.1999999999999999E-3</v>
      </c>
      <c r="AG46" s="7">
        <v>0</v>
      </c>
      <c r="AH46" s="7">
        <v>0</v>
      </c>
      <c r="AI46" s="7">
        <v>29</v>
      </c>
      <c r="AJ46" s="6">
        <v>0.99950000000000006</v>
      </c>
      <c r="AK46" s="7">
        <v>789501600</v>
      </c>
      <c r="AL46" s="5">
        <v>38.286700000000003</v>
      </c>
      <c r="AM46" s="5">
        <v>163.57560000000001</v>
      </c>
      <c r="AN46" s="5">
        <v>915.68640000000005</v>
      </c>
    </row>
    <row r="47" spans="1:40" ht="16.5" x14ac:dyDescent="0.45">
      <c r="A47" s="1" t="s">
        <v>64</v>
      </c>
      <c r="B47" s="1" t="s">
        <v>65</v>
      </c>
      <c r="C47" s="1" t="s">
        <v>41</v>
      </c>
      <c r="D47" s="1" t="s">
        <v>50</v>
      </c>
      <c r="E47" s="1" t="s">
        <v>51</v>
      </c>
      <c r="F47" s="1" t="s">
        <v>50</v>
      </c>
      <c r="G47" s="1" t="s">
        <v>51</v>
      </c>
      <c r="H47" s="1" t="s">
        <v>52</v>
      </c>
      <c r="I47" s="1" t="s">
        <v>53</v>
      </c>
      <c r="J47" s="1">
        <f t="shared" si="0"/>
        <v>100</v>
      </c>
      <c r="K47" s="3">
        <v>1</v>
      </c>
      <c r="L47" s="4">
        <v>55.32</v>
      </c>
      <c r="M47" s="5">
        <v>5.3287000000000004</v>
      </c>
      <c r="N47">
        <v>99.77000000000001</v>
      </c>
      <c r="O47">
        <v>99.850000000000009</v>
      </c>
      <c r="P47" s="6">
        <v>0.99850000000000005</v>
      </c>
      <c r="Q47" s="6">
        <v>0.99850000000000005</v>
      </c>
      <c r="R47">
        <v>0.08</v>
      </c>
      <c r="S47">
        <v>0.12</v>
      </c>
      <c r="T47" s="7">
        <v>0</v>
      </c>
      <c r="U47" s="7">
        <v>0</v>
      </c>
      <c r="V47" s="7">
        <v>0</v>
      </c>
      <c r="W47" s="7">
        <v>0</v>
      </c>
      <c r="X47" s="6">
        <v>0.64570000000000005</v>
      </c>
      <c r="Y47" s="6">
        <v>0.52029999999999998</v>
      </c>
      <c r="Z47" s="4">
        <v>-11.93</v>
      </c>
      <c r="AA47" s="4">
        <v>-95.47</v>
      </c>
      <c r="AB47" s="6">
        <v>0.99970000000000003</v>
      </c>
      <c r="AC47" s="7">
        <v>100</v>
      </c>
      <c r="AD47" s="3">
        <v>1</v>
      </c>
      <c r="AE47" s="6">
        <v>2.2000000000000001E-3</v>
      </c>
      <c r="AF47" s="6">
        <v>2E-3</v>
      </c>
      <c r="AG47" s="7">
        <v>0</v>
      </c>
      <c r="AH47" s="7">
        <v>0</v>
      </c>
      <c r="AI47" s="7">
        <v>81</v>
      </c>
      <c r="AJ47" s="6">
        <v>0.99990000000000001</v>
      </c>
      <c r="AK47" s="7">
        <v>789501600</v>
      </c>
      <c r="AL47" s="5">
        <v>91.69</v>
      </c>
      <c r="AM47" s="5">
        <v>391.9667</v>
      </c>
      <c r="AN47" s="5">
        <v>1128.5217</v>
      </c>
    </row>
    <row r="48" spans="1:40" ht="16.5" x14ac:dyDescent="0.45">
      <c r="A48" s="1" t="s">
        <v>64</v>
      </c>
      <c r="B48" s="1" t="s">
        <v>65</v>
      </c>
      <c r="C48" s="1" t="s">
        <v>41</v>
      </c>
      <c r="D48" s="1" t="s">
        <v>50</v>
      </c>
      <c r="E48" s="1" t="s">
        <v>51</v>
      </c>
      <c r="F48" s="1" t="s">
        <v>50</v>
      </c>
      <c r="G48" s="1" t="s">
        <v>51</v>
      </c>
      <c r="H48" s="1" t="s">
        <v>54</v>
      </c>
      <c r="I48" s="1" t="s">
        <v>55</v>
      </c>
      <c r="J48" s="1">
        <f t="shared" si="0"/>
        <v>100</v>
      </c>
      <c r="K48" s="3">
        <v>1</v>
      </c>
      <c r="L48" s="4">
        <v>27.59</v>
      </c>
      <c r="M48" s="5">
        <v>4.8116000000000003</v>
      </c>
      <c r="N48">
        <v>99.63</v>
      </c>
      <c r="O48">
        <v>99.86</v>
      </c>
      <c r="P48" s="6">
        <v>0.99870000000000003</v>
      </c>
      <c r="Q48" s="6">
        <v>0.99880000000000002</v>
      </c>
      <c r="R48">
        <v>0.06</v>
      </c>
      <c r="S48">
        <v>0.02</v>
      </c>
      <c r="T48" s="7">
        <v>0</v>
      </c>
      <c r="U48" s="7">
        <v>0</v>
      </c>
      <c r="V48" s="7">
        <v>0</v>
      </c>
      <c r="W48" s="7">
        <v>0</v>
      </c>
      <c r="X48" s="6">
        <v>0.61939999999999995</v>
      </c>
      <c r="Y48" s="6">
        <v>0.30990000000000001</v>
      </c>
      <c r="Z48" s="4">
        <v>-10.87</v>
      </c>
      <c r="AA48" s="4">
        <v>-97.06</v>
      </c>
      <c r="AB48" s="6">
        <v>0.99960000000000004</v>
      </c>
      <c r="AD48" s="3">
        <v>0.5</v>
      </c>
      <c r="AE48" s="6">
        <v>2.7000000000000001E-3</v>
      </c>
      <c r="AF48" s="6">
        <v>4.4000000000000003E-3</v>
      </c>
      <c r="AG48" s="7">
        <v>0</v>
      </c>
      <c r="AH48" s="7">
        <v>0</v>
      </c>
      <c r="AI48" s="7">
        <v>35</v>
      </c>
      <c r="AJ48" s="3">
        <v>1</v>
      </c>
      <c r="AK48" s="7">
        <v>789501600</v>
      </c>
      <c r="AL48" s="5">
        <v>51.494999999999997</v>
      </c>
      <c r="AM48" s="5">
        <v>275.22190000000001</v>
      </c>
      <c r="AN48" s="5">
        <v>1083.2579000000001</v>
      </c>
    </row>
    <row r="49" spans="1:40" ht="16.5" x14ac:dyDescent="0.45">
      <c r="A49" s="1" t="s">
        <v>64</v>
      </c>
      <c r="B49" s="1" t="s">
        <v>65</v>
      </c>
      <c r="C49" s="1" t="s">
        <v>41</v>
      </c>
      <c r="D49" s="1" t="s">
        <v>50</v>
      </c>
      <c r="E49" s="1" t="s">
        <v>51</v>
      </c>
      <c r="F49" s="1" t="s">
        <v>50</v>
      </c>
      <c r="G49" s="1" t="s">
        <v>51</v>
      </c>
      <c r="H49" s="1" t="s">
        <v>56</v>
      </c>
      <c r="I49" s="1" t="s">
        <v>57</v>
      </c>
      <c r="J49" s="1">
        <f t="shared" si="0"/>
        <v>100</v>
      </c>
      <c r="K49" s="3">
        <v>1</v>
      </c>
      <c r="L49" s="4">
        <v>67.040000000000006</v>
      </c>
      <c r="M49" s="5">
        <v>5.1867999999999999</v>
      </c>
      <c r="N49">
        <v>99.88</v>
      </c>
      <c r="O49">
        <v>99.82</v>
      </c>
      <c r="P49" s="6">
        <v>0.99819999999999998</v>
      </c>
      <c r="Q49" s="6">
        <v>0.99829999999999997</v>
      </c>
      <c r="R49">
        <v>0.04</v>
      </c>
      <c r="S49">
        <v>6.9999999999999993E-2</v>
      </c>
      <c r="T49" s="7">
        <v>0</v>
      </c>
      <c r="U49" s="7">
        <v>0</v>
      </c>
      <c r="V49" s="7">
        <v>0</v>
      </c>
      <c r="W49" s="7">
        <v>0</v>
      </c>
      <c r="X49" s="6">
        <v>0.72589999999999999</v>
      </c>
      <c r="Y49" s="6">
        <v>0.52370000000000005</v>
      </c>
      <c r="Z49" s="4">
        <v>-11.32</v>
      </c>
      <c r="AA49" s="4">
        <v>-93.81</v>
      </c>
      <c r="AB49" s="6">
        <v>0.99950000000000006</v>
      </c>
      <c r="AD49" s="6">
        <v>0.9032</v>
      </c>
      <c r="AE49" s="6">
        <v>3.5999999999999999E-3</v>
      </c>
      <c r="AF49" s="6">
        <v>1.15E-2</v>
      </c>
      <c r="AG49" s="7">
        <v>0</v>
      </c>
      <c r="AH49" s="7">
        <v>0</v>
      </c>
      <c r="AI49" s="7">
        <v>40</v>
      </c>
      <c r="AJ49" s="3">
        <v>1</v>
      </c>
      <c r="AK49" s="7">
        <v>789501600</v>
      </c>
      <c r="AL49" s="5">
        <v>87.136700000000005</v>
      </c>
      <c r="AM49" s="5">
        <v>340.77170000000001</v>
      </c>
      <c r="AN49" s="5">
        <v>1126.4100000000001</v>
      </c>
    </row>
    <row r="50" spans="1:40" ht="16.5" x14ac:dyDescent="0.45">
      <c r="A50" s="1" t="s">
        <v>64</v>
      </c>
      <c r="B50" s="1" t="s">
        <v>65</v>
      </c>
      <c r="C50" s="1" t="s">
        <v>41</v>
      </c>
      <c r="D50" s="1" t="s">
        <v>50</v>
      </c>
      <c r="E50" s="1" t="s">
        <v>51</v>
      </c>
      <c r="F50" s="1" t="s">
        <v>50</v>
      </c>
      <c r="G50" s="1" t="s">
        <v>51</v>
      </c>
      <c r="H50" s="1" t="s">
        <v>58</v>
      </c>
      <c r="I50" s="1" t="s">
        <v>59</v>
      </c>
      <c r="J50" s="1">
        <f t="shared" si="0"/>
        <v>100</v>
      </c>
      <c r="K50" s="3">
        <v>1</v>
      </c>
      <c r="L50" s="4">
        <v>37.340000000000003</v>
      </c>
      <c r="M50" s="5">
        <v>4.6391999999999998</v>
      </c>
      <c r="N50">
        <v>99.72</v>
      </c>
      <c r="O50">
        <v>99.81</v>
      </c>
      <c r="P50" s="6">
        <v>0.998</v>
      </c>
      <c r="Q50" s="6">
        <v>0.998</v>
      </c>
      <c r="R50">
        <v>0</v>
      </c>
      <c r="S50">
        <v>6.9999999999999993E-2</v>
      </c>
      <c r="T50" s="7">
        <v>0</v>
      </c>
      <c r="U50" s="7">
        <v>0</v>
      </c>
      <c r="V50" s="7">
        <v>0</v>
      </c>
      <c r="W50" s="7">
        <v>0</v>
      </c>
      <c r="X50" s="6">
        <v>0.498</v>
      </c>
      <c r="Y50" s="6">
        <v>0.3901</v>
      </c>
      <c r="Z50" s="4">
        <v>-9.69</v>
      </c>
      <c r="AA50" s="4">
        <v>-100.45</v>
      </c>
      <c r="AB50" s="6">
        <v>0.99980000000000002</v>
      </c>
      <c r="AD50" s="6">
        <v>0.81820000000000004</v>
      </c>
      <c r="AE50" s="6">
        <v>1.1999999999999999E-3</v>
      </c>
      <c r="AF50" s="6">
        <v>5.9999999999999995E-4</v>
      </c>
      <c r="AG50" s="7">
        <v>0</v>
      </c>
      <c r="AH50" s="7">
        <v>0</v>
      </c>
      <c r="AI50" s="7">
        <v>32</v>
      </c>
      <c r="AJ50" s="3">
        <v>1</v>
      </c>
      <c r="AK50" s="7">
        <v>789501600</v>
      </c>
      <c r="AL50" s="5">
        <v>55.3</v>
      </c>
      <c r="AM50" s="5">
        <v>275.39499999999998</v>
      </c>
      <c r="AN50" s="5">
        <v>1022.0281</v>
      </c>
    </row>
    <row r="51" spans="1:40" ht="16.5" x14ac:dyDescent="0.45">
      <c r="A51" s="1" t="s">
        <v>65</v>
      </c>
      <c r="B51" s="1" t="s">
        <v>66</v>
      </c>
      <c r="C51" s="1" t="s">
        <v>41</v>
      </c>
      <c r="D51" s="1" t="s">
        <v>42</v>
      </c>
      <c r="E51" s="1" t="s">
        <v>43</v>
      </c>
      <c r="F51" s="1" t="s">
        <v>42</v>
      </c>
      <c r="G51" s="1" t="s">
        <v>43</v>
      </c>
      <c r="H51" s="1" t="s">
        <v>44</v>
      </c>
      <c r="I51" s="1" t="s">
        <v>45</v>
      </c>
      <c r="J51" s="1">
        <f t="shared" si="0"/>
        <v>100</v>
      </c>
      <c r="K51" s="3">
        <v>1</v>
      </c>
      <c r="L51" s="4">
        <v>33.99</v>
      </c>
      <c r="M51" s="5">
        <v>3.7894999999999999</v>
      </c>
      <c r="N51">
        <v>99.87</v>
      </c>
      <c r="O51">
        <v>99.839999999999989</v>
      </c>
      <c r="P51" s="6">
        <v>0.99839999999999995</v>
      </c>
      <c r="Q51" s="6">
        <v>0.99839999999999995</v>
      </c>
      <c r="R51">
        <v>0</v>
      </c>
      <c r="S51">
        <v>0.06</v>
      </c>
      <c r="T51" s="7">
        <v>0</v>
      </c>
      <c r="U51" s="7">
        <v>0</v>
      </c>
      <c r="V51" s="7">
        <v>0</v>
      </c>
      <c r="W51" s="7">
        <v>0</v>
      </c>
      <c r="X51" s="6">
        <v>0.46229999999999999</v>
      </c>
      <c r="Y51" s="6">
        <v>0.1651</v>
      </c>
      <c r="Z51" s="4">
        <v>-10.51</v>
      </c>
      <c r="AA51" s="4">
        <v>-98.31</v>
      </c>
      <c r="AB51" s="6">
        <v>0.99980000000000002</v>
      </c>
      <c r="AC51" s="7">
        <v>50</v>
      </c>
      <c r="AD51" s="3">
        <v>1</v>
      </c>
      <c r="AE51" s="6">
        <v>1.6000000000000001E-3</v>
      </c>
      <c r="AF51" s="6">
        <v>2.0000000000000001E-4</v>
      </c>
      <c r="AG51" s="7">
        <v>0</v>
      </c>
      <c r="AH51" s="7">
        <v>0</v>
      </c>
      <c r="AI51" s="7">
        <v>40</v>
      </c>
      <c r="AJ51" s="6">
        <v>0.99990000000000001</v>
      </c>
      <c r="AK51" s="7">
        <v>789501600</v>
      </c>
      <c r="AL51" s="5">
        <v>46.203299999999999</v>
      </c>
      <c r="AM51" s="5">
        <v>211.57900000000001</v>
      </c>
      <c r="AN51" s="5">
        <v>857.85339999999997</v>
      </c>
    </row>
    <row r="52" spans="1:40" ht="16.5" x14ac:dyDescent="0.45">
      <c r="A52" s="1" t="s">
        <v>65</v>
      </c>
      <c r="B52" s="1" t="s">
        <v>66</v>
      </c>
      <c r="C52" s="1" t="s">
        <v>41</v>
      </c>
      <c r="D52" s="1" t="s">
        <v>42</v>
      </c>
      <c r="E52" s="1" t="s">
        <v>43</v>
      </c>
      <c r="F52" s="1" t="s">
        <v>42</v>
      </c>
      <c r="G52" s="1" t="s">
        <v>43</v>
      </c>
      <c r="H52" s="1" t="s">
        <v>46</v>
      </c>
      <c r="I52" s="1" t="s">
        <v>47</v>
      </c>
      <c r="J52" s="1">
        <f t="shared" si="0"/>
        <v>100</v>
      </c>
      <c r="K52" s="3">
        <v>1</v>
      </c>
      <c r="L52" s="4">
        <v>25.96</v>
      </c>
      <c r="M52" s="5">
        <v>3.1621999999999999</v>
      </c>
      <c r="N52">
        <v>99.75</v>
      </c>
      <c r="O52">
        <v>99.850000000000009</v>
      </c>
      <c r="P52" s="6">
        <v>0.99839999999999995</v>
      </c>
      <c r="Q52" s="6">
        <v>0.99829999999999997</v>
      </c>
      <c r="R52">
        <v>0.13</v>
      </c>
      <c r="S52">
        <v>6.9999999999999993E-2</v>
      </c>
      <c r="T52" s="7">
        <v>1</v>
      </c>
      <c r="U52" s="7">
        <v>0</v>
      </c>
      <c r="V52" s="7">
        <v>0</v>
      </c>
      <c r="W52" s="7">
        <v>0</v>
      </c>
      <c r="X52" s="6">
        <v>0.33800000000000002</v>
      </c>
      <c r="Y52" s="6">
        <v>0.1283</v>
      </c>
      <c r="Z52" s="4">
        <v>-8.58</v>
      </c>
      <c r="AA52" s="4">
        <v>-99.31</v>
      </c>
      <c r="AB52" s="6">
        <v>0.99939999999999996</v>
      </c>
      <c r="AD52" s="3">
        <v>1</v>
      </c>
      <c r="AE52" s="6">
        <v>1.6999999999999999E-3</v>
      </c>
      <c r="AF52" s="6">
        <v>1E-4</v>
      </c>
      <c r="AG52" s="7">
        <v>0</v>
      </c>
      <c r="AH52" s="7">
        <v>0</v>
      </c>
      <c r="AI52" s="7">
        <v>41</v>
      </c>
      <c r="AJ52" s="6">
        <v>0.99990000000000001</v>
      </c>
      <c r="AK52" s="7">
        <v>789501600</v>
      </c>
      <c r="AL52" s="5">
        <v>35.215000000000003</v>
      </c>
      <c r="AM52" s="5">
        <v>159.57830000000001</v>
      </c>
      <c r="AN52" s="5">
        <v>727.27790000000005</v>
      </c>
    </row>
    <row r="53" spans="1:40" ht="16.5" x14ac:dyDescent="0.45">
      <c r="A53" s="1" t="s">
        <v>65</v>
      </c>
      <c r="B53" s="1" t="s">
        <v>66</v>
      </c>
      <c r="C53" s="1" t="s">
        <v>41</v>
      </c>
      <c r="D53" s="1" t="s">
        <v>42</v>
      </c>
      <c r="E53" s="1" t="s">
        <v>43</v>
      </c>
      <c r="F53" s="1" t="s">
        <v>42</v>
      </c>
      <c r="G53" s="1" t="s">
        <v>43</v>
      </c>
      <c r="H53" s="1" t="s">
        <v>48</v>
      </c>
      <c r="I53" s="1" t="s">
        <v>49</v>
      </c>
      <c r="J53" s="1">
        <f t="shared" si="0"/>
        <v>100</v>
      </c>
      <c r="K53" s="3">
        <v>1</v>
      </c>
      <c r="L53" s="4">
        <v>21.29</v>
      </c>
      <c r="M53" s="5">
        <v>2.6627000000000001</v>
      </c>
      <c r="N53">
        <v>99.539999999999992</v>
      </c>
      <c r="O53">
        <v>99.76</v>
      </c>
      <c r="P53" s="6">
        <v>0.99750000000000005</v>
      </c>
      <c r="Q53" s="6">
        <v>0.99750000000000005</v>
      </c>
      <c r="R53">
        <v>0.16</v>
      </c>
      <c r="S53">
        <v>0.06</v>
      </c>
      <c r="T53" s="7">
        <v>0</v>
      </c>
      <c r="U53" s="7">
        <v>0</v>
      </c>
      <c r="V53" s="7">
        <v>0</v>
      </c>
      <c r="W53" s="7">
        <v>0</v>
      </c>
      <c r="X53" s="6">
        <v>0.46189999999999998</v>
      </c>
      <c r="Y53" s="6">
        <v>0.17269999999999999</v>
      </c>
      <c r="Z53" s="4">
        <v>-9.3000000000000007</v>
      </c>
      <c r="AA53" s="4">
        <v>-98.64</v>
      </c>
      <c r="AB53" s="6">
        <v>0.99929999999999997</v>
      </c>
      <c r="AC53" s="7">
        <v>80</v>
      </c>
      <c r="AD53" s="6">
        <v>0.91669999999999996</v>
      </c>
      <c r="AE53" s="6">
        <v>1.4E-3</v>
      </c>
      <c r="AF53" s="6">
        <v>4.0000000000000002E-4</v>
      </c>
      <c r="AG53" s="7">
        <v>0</v>
      </c>
      <c r="AH53" s="7">
        <v>0</v>
      </c>
      <c r="AI53" s="7">
        <v>34</v>
      </c>
      <c r="AJ53" s="6">
        <v>0.99960000000000004</v>
      </c>
      <c r="AK53" s="7">
        <v>789501600</v>
      </c>
      <c r="AL53" s="5">
        <v>41.225000000000001</v>
      </c>
      <c r="AM53" s="5">
        <v>152.0498</v>
      </c>
      <c r="AN53" s="5">
        <v>600.33749999999998</v>
      </c>
    </row>
    <row r="54" spans="1:40" ht="16.5" x14ac:dyDescent="0.45">
      <c r="A54" s="1" t="s">
        <v>65</v>
      </c>
      <c r="B54" s="1" t="s">
        <v>66</v>
      </c>
      <c r="C54" s="1" t="s">
        <v>41</v>
      </c>
      <c r="D54" s="1" t="s">
        <v>50</v>
      </c>
      <c r="E54" s="1" t="s">
        <v>51</v>
      </c>
      <c r="F54" s="1" t="s">
        <v>50</v>
      </c>
      <c r="G54" s="1" t="s">
        <v>51</v>
      </c>
      <c r="H54" s="1" t="s">
        <v>52</v>
      </c>
      <c r="I54" s="1" t="s">
        <v>53</v>
      </c>
      <c r="J54" s="1">
        <f t="shared" si="0"/>
        <v>100</v>
      </c>
      <c r="K54" s="3">
        <v>1</v>
      </c>
      <c r="L54" s="4">
        <v>59.25</v>
      </c>
      <c r="M54" s="5">
        <v>5.4827000000000004</v>
      </c>
      <c r="N54">
        <v>99.61</v>
      </c>
      <c r="O54">
        <v>99.850000000000009</v>
      </c>
      <c r="P54" s="6">
        <v>0.99850000000000005</v>
      </c>
      <c r="Q54" s="6">
        <v>0.99850000000000005</v>
      </c>
      <c r="R54">
        <v>0.05</v>
      </c>
      <c r="S54">
        <v>0.08</v>
      </c>
      <c r="T54" s="7">
        <v>0</v>
      </c>
      <c r="U54" s="7">
        <v>0</v>
      </c>
      <c r="V54" s="7">
        <v>0</v>
      </c>
      <c r="W54" s="7">
        <v>0</v>
      </c>
      <c r="X54" s="6">
        <v>0.64139999999999997</v>
      </c>
      <c r="Y54" s="6">
        <v>0.50590000000000002</v>
      </c>
      <c r="Z54" s="4">
        <v>-11.87</v>
      </c>
      <c r="AA54" s="4">
        <v>-95.02</v>
      </c>
      <c r="AB54" s="6">
        <v>0.99950000000000006</v>
      </c>
      <c r="AC54" s="7">
        <v>100</v>
      </c>
      <c r="AD54" s="6">
        <v>0.66669999999999996</v>
      </c>
      <c r="AE54" s="6">
        <v>1.9E-3</v>
      </c>
      <c r="AF54" s="6">
        <v>2.3999999999999998E-3</v>
      </c>
      <c r="AG54" s="7">
        <v>0</v>
      </c>
      <c r="AH54" s="7">
        <v>0</v>
      </c>
      <c r="AI54" s="7">
        <v>90</v>
      </c>
      <c r="AJ54" s="6">
        <v>0.99990000000000001</v>
      </c>
      <c r="AK54" s="7">
        <v>789501600</v>
      </c>
      <c r="AL54" s="5">
        <v>91.848399999999998</v>
      </c>
      <c r="AM54" s="5">
        <v>368.8929</v>
      </c>
      <c r="AN54" s="5">
        <v>1186.4156</v>
      </c>
    </row>
    <row r="55" spans="1:40" ht="16.5" x14ac:dyDescent="0.45">
      <c r="A55" s="1" t="s">
        <v>65</v>
      </c>
      <c r="B55" s="1" t="s">
        <v>66</v>
      </c>
      <c r="C55" s="1" t="s">
        <v>41</v>
      </c>
      <c r="D55" s="1" t="s">
        <v>50</v>
      </c>
      <c r="E55" s="1" t="s">
        <v>51</v>
      </c>
      <c r="F55" s="1" t="s">
        <v>50</v>
      </c>
      <c r="G55" s="1" t="s">
        <v>51</v>
      </c>
      <c r="H55" s="1" t="s">
        <v>54</v>
      </c>
      <c r="I55" s="1" t="s">
        <v>55</v>
      </c>
      <c r="J55" s="1">
        <f t="shared" si="0"/>
        <v>100</v>
      </c>
      <c r="K55" s="3">
        <v>1</v>
      </c>
      <c r="L55" s="4">
        <v>31.88</v>
      </c>
      <c r="M55" s="5">
        <v>4.5187999999999997</v>
      </c>
      <c r="N55">
        <v>99.76</v>
      </c>
      <c r="O55">
        <v>99.88</v>
      </c>
      <c r="P55" s="6">
        <v>0.99890000000000001</v>
      </c>
      <c r="Q55" s="6">
        <v>0.99880000000000002</v>
      </c>
      <c r="R55">
        <v>0</v>
      </c>
      <c r="S55">
        <v>0.06</v>
      </c>
      <c r="T55" s="7">
        <v>0</v>
      </c>
      <c r="U55" s="7">
        <v>0</v>
      </c>
      <c r="V55" s="7">
        <v>0</v>
      </c>
      <c r="W55" s="7">
        <v>0</v>
      </c>
      <c r="X55" s="6">
        <v>0.58599999999999997</v>
      </c>
      <c r="Y55" s="6">
        <v>0.28839999999999999</v>
      </c>
      <c r="Z55" s="4">
        <v>-10.38</v>
      </c>
      <c r="AA55" s="4">
        <v>-97.07</v>
      </c>
      <c r="AB55" s="6">
        <v>0.99970000000000003</v>
      </c>
      <c r="AD55" s="3">
        <v>1</v>
      </c>
      <c r="AE55" s="6">
        <v>2.3E-3</v>
      </c>
      <c r="AF55" s="6">
        <v>4.4000000000000003E-3</v>
      </c>
      <c r="AG55" s="7">
        <v>0</v>
      </c>
      <c r="AH55" s="7">
        <v>0</v>
      </c>
      <c r="AI55" s="7">
        <v>41</v>
      </c>
      <c r="AJ55" s="3">
        <v>1</v>
      </c>
      <c r="AK55" s="7">
        <v>789501600</v>
      </c>
      <c r="AL55" s="5">
        <v>50.958399999999997</v>
      </c>
      <c r="AM55" s="5">
        <v>263.1078</v>
      </c>
      <c r="AN55" s="5">
        <v>1015.502</v>
      </c>
    </row>
    <row r="56" spans="1:40" ht="16.5" x14ac:dyDescent="0.45">
      <c r="A56" s="1" t="s">
        <v>65</v>
      </c>
      <c r="B56" s="1" t="s">
        <v>66</v>
      </c>
      <c r="C56" s="1" t="s">
        <v>41</v>
      </c>
      <c r="D56" s="1" t="s">
        <v>50</v>
      </c>
      <c r="E56" s="1" t="s">
        <v>51</v>
      </c>
      <c r="F56" s="1" t="s">
        <v>50</v>
      </c>
      <c r="G56" s="1" t="s">
        <v>51</v>
      </c>
      <c r="H56" s="1" t="s">
        <v>56</v>
      </c>
      <c r="I56" s="1" t="s">
        <v>57</v>
      </c>
      <c r="J56" s="1">
        <f t="shared" si="0"/>
        <v>100</v>
      </c>
      <c r="K56" s="3">
        <v>1</v>
      </c>
      <c r="L56" s="4">
        <v>64.28</v>
      </c>
      <c r="M56" s="5">
        <v>4.8718000000000004</v>
      </c>
      <c r="N56">
        <v>99.94</v>
      </c>
      <c r="O56">
        <v>99.79</v>
      </c>
      <c r="P56" s="6">
        <v>0.99780000000000002</v>
      </c>
      <c r="Q56" s="6">
        <v>0.998</v>
      </c>
      <c r="R56">
        <v>0.02</v>
      </c>
      <c r="S56">
        <v>6.9999999999999993E-2</v>
      </c>
      <c r="T56" s="7">
        <v>0</v>
      </c>
      <c r="U56" s="7">
        <v>0</v>
      </c>
      <c r="V56" s="7">
        <v>0</v>
      </c>
      <c r="W56" s="7">
        <v>0</v>
      </c>
      <c r="X56" s="6">
        <v>0.68240000000000001</v>
      </c>
      <c r="Y56" s="6">
        <v>0.497</v>
      </c>
      <c r="Z56" s="4">
        <v>-11.12</v>
      </c>
      <c r="AA56" s="4">
        <v>-93.79</v>
      </c>
      <c r="AB56" s="6">
        <v>0.99970000000000003</v>
      </c>
      <c r="AD56" s="6">
        <v>0.83330000000000004</v>
      </c>
      <c r="AE56" s="6">
        <v>3.8E-3</v>
      </c>
      <c r="AF56" s="6">
        <v>7.7000000000000002E-3</v>
      </c>
      <c r="AG56" s="7">
        <v>0</v>
      </c>
      <c r="AH56" s="7">
        <v>0</v>
      </c>
      <c r="AI56" s="7">
        <v>44</v>
      </c>
      <c r="AJ56" s="3">
        <v>1</v>
      </c>
      <c r="AK56" s="7">
        <v>789501600</v>
      </c>
      <c r="AL56" s="5">
        <v>81.736699999999999</v>
      </c>
      <c r="AM56" s="5">
        <v>375.10449999999997</v>
      </c>
      <c r="AN56" s="5">
        <v>1008.3371</v>
      </c>
    </row>
    <row r="57" spans="1:40" ht="16.5" x14ac:dyDescent="0.45">
      <c r="A57" s="1" t="s">
        <v>65</v>
      </c>
      <c r="B57" s="1" t="s">
        <v>66</v>
      </c>
      <c r="C57" s="1" t="s">
        <v>41</v>
      </c>
      <c r="D57" s="1" t="s">
        <v>50</v>
      </c>
      <c r="E57" s="1" t="s">
        <v>51</v>
      </c>
      <c r="F57" s="1" t="s">
        <v>50</v>
      </c>
      <c r="G57" s="1" t="s">
        <v>51</v>
      </c>
      <c r="H57" s="1" t="s">
        <v>58</v>
      </c>
      <c r="I57" s="1" t="s">
        <v>59</v>
      </c>
      <c r="J57" s="1">
        <f t="shared" si="0"/>
        <v>100</v>
      </c>
      <c r="K57" s="3">
        <v>1</v>
      </c>
      <c r="L57" s="4">
        <v>38.159999999999997</v>
      </c>
      <c r="M57" s="5">
        <v>3.7923</v>
      </c>
      <c r="N57">
        <v>99.71</v>
      </c>
      <c r="O57">
        <v>99.839999999999989</v>
      </c>
      <c r="P57" s="6">
        <v>0.99839999999999995</v>
      </c>
      <c r="Q57" s="6">
        <v>0.99870000000000003</v>
      </c>
      <c r="R57">
        <v>0</v>
      </c>
      <c r="S57">
        <v>0.05</v>
      </c>
      <c r="T57" s="7">
        <v>1</v>
      </c>
      <c r="U57" s="7">
        <v>0</v>
      </c>
      <c r="V57" s="7">
        <v>0</v>
      </c>
      <c r="W57" s="7">
        <v>0</v>
      </c>
      <c r="X57" s="6">
        <v>0.48130000000000001</v>
      </c>
      <c r="Y57" s="6">
        <v>0.3649</v>
      </c>
      <c r="Z57" s="4">
        <v>-9.49</v>
      </c>
      <c r="AA57" s="4">
        <v>-100.3</v>
      </c>
      <c r="AB57" s="6">
        <v>0.99960000000000004</v>
      </c>
      <c r="AD57" s="3">
        <v>1</v>
      </c>
      <c r="AE57" s="6">
        <v>1.4E-3</v>
      </c>
      <c r="AF57" s="6">
        <v>2.0000000000000001E-4</v>
      </c>
      <c r="AG57" s="7">
        <v>0</v>
      </c>
      <c r="AH57" s="7">
        <v>0</v>
      </c>
      <c r="AI57" s="7">
        <v>35</v>
      </c>
      <c r="AJ57" s="3">
        <v>1</v>
      </c>
      <c r="AK57" s="7">
        <v>789501600</v>
      </c>
      <c r="AL57" s="5">
        <v>56.2667</v>
      </c>
      <c r="AM57" s="5">
        <v>255.83860000000001</v>
      </c>
      <c r="AN57" s="5">
        <v>809.72969999999998</v>
      </c>
    </row>
    <row r="58" spans="1:40" ht="16.5" x14ac:dyDescent="0.45">
      <c r="A58" s="1" t="s">
        <v>66</v>
      </c>
      <c r="B58" s="1" t="s">
        <v>67</v>
      </c>
      <c r="C58" s="1" t="s">
        <v>41</v>
      </c>
      <c r="D58" s="1" t="s">
        <v>42</v>
      </c>
      <c r="E58" s="1" t="s">
        <v>43</v>
      </c>
      <c r="F58" s="1" t="s">
        <v>42</v>
      </c>
      <c r="G58" s="1" t="s">
        <v>43</v>
      </c>
      <c r="H58" s="1" t="s">
        <v>44</v>
      </c>
      <c r="I58" s="1" t="s">
        <v>45</v>
      </c>
      <c r="J58" s="1">
        <f t="shared" si="0"/>
        <v>100</v>
      </c>
      <c r="K58" s="3">
        <v>1</v>
      </c>
      <c r="L58" s="4">
        <v>33.06</v>
      </c>
      <c r="M58" s="5">
        <v>3.9201999999999999</v>
      </c>
      <c r="N58">
        <v>99.87</v>
      </c>
      <c r="O58">
        <v>99.8</v>
      </c>
      <c r="P58" s="6">
        <v>0.998</v>
      </c>
      <c r="Q58" s="6">
        <v>0.99809999999999999</v>
      </c>
      <c r="R58">
        <v>0</v>
      </c>
      <c r="S58">
        <v>0.09</v>
      </c>
      <c r="T58" s="7">
        <v>0</v>
      </c>
      <c r="U58" s="7">
        <v>0</v>
      </c>
      <c r="V58" s="7">
        <v>0</v>
      </c>
      <c r="W58" s="7">
        <v>0</v>
      </c>
      <c r="X58" s="6">
        <v>0.46089999999999998</v>
      </c>
      <c r="Y58" s="6">
        <v>0.19400000000000001</v>
      </c>
      <c r="Z58" s="4">
        <v>-10.43</v>
      </c>
      <c r="AA58" s="4">
        <v>-97.73</v>
      </c>
      <c r="AB58" s="6">
        <v>0.99970000000000003</v>
      </c>
      <c r="AC58" s="7">
        <v>100</v>
      </c>
      <c r="AD58" s="3">
        <v>1</v>
      </c>
      <c r="AE58" s="6">
        <v>1.6000000000000001E-3</v>
      </c>
      <c r="AF58" s="6">
        <v>5.3E-3</v>
      </c>
      <c r="AG58" s="7">
        <v>0</v>
      </c>
      <c r="AH58" s="7">
        <v>0</v>
      </c>
      <c r="AI58" s="7">
        <v>41</v>
      </c>
      <c r="AJ58" s="6">
        <v>0.99990000000000001</v>
      </c>
      <c r="AK58" s="7">
        <v>789501600</v>
      </c>
      <c r="AL58" s="5">
        <v>50.591700000000003</v>
      </c>
      <c r="AM58" s="5">
        <v>217.16329999999999</v>
      </c>
      <c r="AN58" s="5">
        <v>895.05110000000002</v>
      </c>
    </row>
    <row r="59" spans="1:40" ht="16.5" x14ac:dyDescent="0.45">
      <c r="A59" s="1" t="s">
        <v>66</v>
      </c>
      <c r="B59" s="1" t="s">
        <v>67</v>
      </c>
      <c r="C59" s="1" t="s">
        <v>41</v>
      </c>
      <c r="D59" s="1" t="s">
        <v>42</v>
      </c>
      <c r="E59" s="1" t="s">
        <v>43</v>
      </c>
      <c r="F59" s="1" t="s">
        <v>42</v>
      </c>
      <c r="G59" s="1" t="s">
        <v>43</v>
      </c>
      <c r="H59" s="1" t="s">
        <v>46</v>
      </c>
      <c r="I59" s="1" t="s">
        <v>47</v>
      </c>
      <c r="J59" s="1">
        <f t="shared" si="0"/>
        <v>100</v>
      </c>
      <c r="K59" s="3">
        <v>1</v>
      </c>
      <c r="L59" s="4">
        <v>22.49</v>
      </c>
      <c r="M59" s="5">
        <v>2.1042999999999998</v>
      </c>
      <c r="N59">
        <v>99.82</v>
      </c>
      <c r="O59">
        <v>99.79</v>
      </c>
      <c r="P59" s="6">
        <v>0.998</v>
      </c>
      <c r="Q59" s="6">
        <v>0.998</v>
      </c>
      <c r="R59">
        <v>6.9999999999999993E-2</v>
      </c>
      <c r="S59">
        <v>0.05</v>
      </c>
      <c r="T59" s="7">
        <v>0</v>
      </c>
      <c r="U59" s="7">
        <v>0</v>
      </c>
      <c r="V59" s="7">
        <v>0</v>
      </c>
      <c r="W59" s="7">
        <v>0</v>
      </c>
      <c r="X59" s="6">
        <v>0.26129999999999998</v>
      </c>
      <c r="Y59" s="6">
        <v>0.1343</v>
      </c>
      <c r="Z59" s="4">
        <v>-7.89</v>
      </c>
      <c r="AA59" s="4">
        <v>-99.21</v>
      </c>
      <c r="AB59" s="6">
        <v>0.99939999999999996</v>
      </c>
      <c r="AD59" s="3">
        <v>1</v>
      </c>
      <c r="AE59" s="6">
        <v>2E-3</v>
      </c>
      <c r="AF59" s="6">
        <v>2.9999999999999997E-4</v>
      </c>
      <c r="AG59" s="7">
        <v>0</v>
      </c>
      <c r="AH59" s="7">
        <v>0</v>
      </c>
      <c r="AI59" s="7">
        <v>52</v>
      </c>
      <c r="AJ59" s="6">
        <v>0.99990000000000001</v>
      </c>
      <c r="AK59" s="7">
        <v>789501600</v>
      </c>
      <c r="AL59" s="5">
        <v>34.368400000000001</v>
      </c>
      <c r="AM59" s="5">
        <v>158.72329999999999</v>
      </c>
      <c r="AN59" s="5">
        <v>434.02319999999997</v>
      </c>
    </row>
    <row r="60" spans="1:40" ht="16.5" x14ac:dyDescent="0.45">
      <c r="A60" s="1" t="s">
        <v>66</v>
      </c>
      <c r="B60" s="1" t="s">
        <v>67</v>
      </c>
      <c r="C60" s="1" t="s">
        <v>41</v>
      </c>
      <c r="D60" s="1" t="s">
        <v>42</v>
      </c>
      <c r="E60" s="1" t="s">
        <v>43</v>
      </c>
      <c r="F60" s="1" t="s">
        <v>42</v>
      </c>
      <c r="G60" s="1" t="s">
        <v>43</v>
      </c>
      <c r="H60" s="1" t="s">
        <v>48</v>
      </c>
      <c r="I60" s="1" t="s">
        <v>49</v>
      </c>
      <c r="J60" s="1">
        <f t="shared" si="0"/>
        <v>100</v>
      </c>
      <c r="K60" s="3">
        <v>1</v>
      </c>
      <c r="L60" s="4">
        <v>24.43</v>
      </c>
      <c r="M60" s="5">
        <v>3.306</v>
      </c>
      <c r="N60">
        <v>99.64</v>
      </c>
      <c r="O60">
        <v>99.75</v>
      </c>
      <c r="P60" s="6">
        <v>0.99760000000000004</v>
      </c>
      <c r="Q60" s="6">
        <v>0.99760000000000004</v>
      </c>
      <c r="R60">
        <v>0.27999999999999997</v>
      </c>
      <c r="S60">
        <v>0.1</v>
      </c>
      <c r="T60" s="7">
        <v>0</v>
      </c>
      <c r="U60" s="7">
        <v>0</v>
      </c>
      <c r="V60" s="7">
        <v>0</v>
      </c>
      <c r="W60" s="7">
        <v>0</v>
      </c>
      <c r="X60" s="6">
        <v>0.46100000000000002</v>
      </c>
      <c r="Y60" s="6">
        <v>0.19620000000000001</v>
      </c>
      <c r="Z60" s="4">
        <v>-9.17</v>
      </c>
      <c r="AA60" s="4">
        <v>-98.23</v>
      </c>
      <c r="AB60" s="6">
        <v>0.99960000000000004</v>
      </c>
      <c r="AC60" s="4">
        <v>94.12</v>
      </c>
      <c r="AD60" s="6">
        <v>0.97440000000000004</v>
      </c>
      <c r="AE60" s="6">
        <v>1.4E-3</v>
      </c>
      <c r="AF60" s="6">
        <v>2.9999999999999997E-4</v>
      </c>
      <c r="AG60" s="7">
        <v>0</v>
      </c>
      <c r="AH60" s="7">
        <v>0</v>
      </c>
      <c r="AI60" s="7">
        <v>32</v>
      </c>
      <c r="AJ60" s="6">
        <v>0.99950000000000006</v>
      </c>
      <c r="AK60" s="7">
        <v>789501600</v>
      </c>
      <c r="AL60" s="5">
        <v>45.528300000000002</v>
      </c>
      <c r="AM60" s="5">
        <v>164.70490000000001</v>
      </c>
      <c r="AN60" s="5">
        <v>766.91700000000003</v>
      </c>
    </row>
    <row r="61" spans="1:40" ht="16.5" x14ac:dyDescent="0.45">
      <c r="A61" s="1" t="s">
        <v>66</v>
      </c>
      <c r="B61" s="1" t="s">
        <v>67</v>
      </c>
      <c r="C61" s="1" t="s">
        <v>41</v>
      </c>
      <c r="D61" s="1" t="s">
        <v>50</v>
      </c>
      <c r="E61" s="1" t="s">
        <v>51</v>
      </c>
      <c r="F61" s="1" t="s">
        <v>50</v>
      </c>
      <c r="G61" s="1" t="s">
        <v>51</v>
      </c>
      <c r="H61" s="1" t="s">
        <v>52</v>
      </c>
      <c r="I61" s="1" t="s">
        <v>53</v>
      </c>
      <c r="J61" s="1">
        <f t="shared" si="0"/>
        <v>100</v>
      </c>
      <c r="K61" s="3">
        <v>1</v>
      </c>
      <c r="L61" s="4">
        <v>60.42</v>
      </c>
      <c r="M61" s="5">
        <v>5.14</v>
      </c>
      <c r="N61">
        <v>99.660000000000011</v>
      </c>
      <c r="O61">
        <v>99.839999999999989</v>
      </c>
      <c r="P61" s="6">
        <v>0.99839999999999995</v>
      </c>
      <c r="Q61" s="6">
        <v>0.99829999999999997</v>
      </c>
      <c r="R61">
        <v>0.05</v>
      </c>
      <c r="S61">
        <v>0.08</v>
      </c>
      <c r="T61" s="7">
        <v>0</v>
      </c>
      <c r="U61" s="7">
        <v>0</v>
      </c>
      <c r="V61" s="7">
        <v>0</v>
      </c>
      <c r="W61" s="7">
        <v>0</v>
      </c>
      <c r="X61" s="6">
        <v>0.60629999999999995</v>
      </c>
      <c r="Y61" s="6">
        <v>0.51700000000000002</v>
      </c>
      <c r="Z61" s="4">
        <v>-11.66</v>
      </c>
      <c r="AA61" s="4">
        <v>-95.25</v>
      </c>
      <c r="AB61" s="6">
        <v>0.99970000000000003</v>
      </c>
      <c r="AC61" s="4">
        <v>66.67</v>
      </c>
      <c r="AD61" s="3">
        <v>1</v>
      </c>
      <c r="AE61" s="6">
        <v>1.8E-3</v>
      </c>
      <c r="AF61" s="6">
        <v>2.3999999999999998E-3</v>
      </c>
      <c r="AG61" s="7">
        <v>0</v>
      </c>
      <c r="AH61" s="7">
        <v>0</v>
      </c>
      <c r="AI61" s="7">
        <v>93</v>
      </c>
      <c r="AJ61" s="6">
        <v>0.99990000000000001</v>
      </c>
      <c r="AK61" s="7">
        <v>789501600</v>
      </c>
      <c r="AL61" s="5">
        <v>86.87</v>
      </c>
      <c r="AM61" s="5">
        <v>385.83670000000001</v>
      </c>
      <c r="AN61" s="5">
        <v>1089.2560000000001</v>
      </c>
    </row>
    <row r="62" spans="1:40" ht="16.5" x14ac:dyDescent="0.45">
      <c r="A62" s="1" t="s">
        <v>66</v>
      </c>
      <c r="B62" s="1" t="s">
        <v>67</v>
      </c>
      <c r="C62" s="1" t="s">
        <v>41</v>
      </c>
      <c r="D62" s="1" t="s">
        <v>50</v>
      </c>
      <c r="E62" s="1" t="s">
        <v>51</v>
      </c>
      <c r="F62" s="1" t="s">
        <v>50</v>
      </c>
      <c r="G62" s="1" t="s">
        <v>51</v>
      </c>
      <c r="H62" s="1" t="s">
        <v>54</v>
      </c>
      <c r="I62" s="1" t="s">
        <v>55</v>
      </c>
      <c r="J62" s="1">
        <f t="shared" si="0"/>
        <v>100</v>
      </c>
      <c r="K62" s="3">
        <v>1</v>
      </c>
      <c r="L62" s="4">
        <v>30.56</v>
      </c>
      <c r="M62" s="5">
        <v>4.2914000000000003</v>
      </c>
      <c r="N62">
        <v>99.81</v>
      </c>
      <c r="O62">
        <v>99.89</v>
      </c>
      <c r="P62" s="6">
        <v>0.99890000000000001</v>
      </c>
      <c r="Q62" s="6">
        <v>0.999</v>
      </c>
      <c r="R62">
        <v>0</v>
      </c>
      <c r="S62">
        <v>0.05</v>
      </c>
      <c r="T62" s="7">
        <v>0</v>
      </c>
      <c r="U62" s="7">
        <v>0</v>
      </c>
      <c r="V62" s="7">
        <v>0</v>
      </c>
      <c r="W62" s="7">
        <v>0</v>
      </c>
      <c r="X62" s="6">
        <v>0.58320000000000005</v>
      </c>
      <c r="Y62" s="6">
        <v>0.27629999999999999</v>
      </c>
      <c r="Z62" s="4">
        <v>-10.55</v>
      </c>
      <c r="AA62" s="4">
        <v>-97.04</v>
      </c>
      <c r="AB62" s="6">
        <v>0.99970000000000003</v>
      </c>
      <c r="AD62" s="3">
        <v>1</v>
      </c>
      <c r="AE62" s="6">
        <v>2.0999999999999999E-3</v>
      </c>
      <c r="AF62" s="6">
        <v>4.1000000000000003E-3</v>
      </c>
      <c r="AG62" s="7">
        <v>0</v>
      </c>
      <c r="AH62" s="7">
        <v>0</v>
      </c>
      <c r="AI62" s="7">
        <v>37</v>
      </c>
      <c r="AJ62" s="3">
        <v>1</v>
      </c>
      <c r="AK62" s="7">
        <v>789501600</v>
      </c>
      <c r="AL62" s="5">
        <v>50.3416</v>
      </c>
      <c r="AM62" s="5">
        <v>250.41630000000001</v>
      </c>
      <c r="AN62" s="5">
        <v>960.22320000000002</v>
      </c>
    </row>
    <row r="63" spans="1:40" ht="16.5" x14ac:dyDescent="0.45">
      <c r="A63" s="1" t="s">
        <v>66</v>
      </c>
      <c r="B63" s="1" t="s">
        <v>67</v>
      </c>
      <c r="C63" s="1" t="s">
        <v>41</v>
      </c>
      <c r="D63" s="1" t="s">
        <v>50</v>
      </c>
      <c r="E63" s="1" t="s">
        <v>51</v>
      </c>
      <c r="F63" s="1" t="s">
        <v>50</v>
      </c>
      <c r="G63" s="1" t="s">
        <v>51</v>
      </c>
      <c r="H63" s="1" t="s">
        <v>56</v>
      </c>
      <c r="I63" s="1" t="s">
        <v>57</v>
      </c>
      <c r="J63" s="1">
        <f t="shared" si="0"/>
        <v>100</v>
      </c>
      <c r="K63" s="3">
        <v>1</v>
      </c>
      <c r="L63" s="4">
        <v>66.819999999999993</v>
      </c>
      <c r="M63" s="5">
        <v>5.1026999999999996</v>
      </c>
      <c r="N63">
        <v>99.72</v>
      </c>
      <c r="O63">
        <v>99.850000000000009</v>
      </c>
      <c r="P63" s="6">
        <v>0.99850000000000005</v>
      </c>
      <c r="Q63" s="6">
        <v>0.99870000000000003</v>
      </c>
      <c r="R63">
        <v>0.08</v>
      </c>
      <c r="S63">
        <v>6.9999999999999993E-2</v>
      </c>
      <c r="T63" s="7">
        <v>0</v>
      </c>
      <c r="U63" s="7">
        <v>0</v>
      </c>
      <c r="V63" s="7">
        <v>0</v>
      </c>
      <c r="W63" s="7">
        <v>0</v>
      </c>
      <c r="X63" s="6">
        <v>0.71020000000000005</v>
      </c>
      <c r="Y63" s="6">
        <v>0.51060000000000005</v>
      </c>
      <c r="Z63" s="4">
        <v>-11.23</v>
      </c>
      <c r="AA63" s="4">
        <v>-92.49</v>
      </c>
      <c r="AB63" s="6">
        <v>0.99970000000000003</v>
      </c>
      <c r="AD63" s="6">
        <v>0.91669999999999996</v>
      </c>
      <c r="AE63" s="6">
        <v>3.8999999999999998E-3</v>
      </c>
      <c r="AF63" s="6">
        <v>7.4999999999999997E-3</v>
      </c>
      <c r="AG63" s="7">
        <v>0</v>
      </c>
      <c r="AH63" s="7">
        <v>0</v>
      </c>
      <c r="AI63" s="7">
        <v>32</v>
      </c>
      <c r="AJ63" s="3">
        <v>1</v>
      </c>
      <c r="AK63" s="7">
        <v>789501600</v>
      </c>
      <c r="AL63" s="5">
        <v>85.468400000000003</v>
      </c>
      <c r="AM63" s="5">
        <v>362.66140000000001</v>
      </c>
      <c r="AN63" s="5">
        <v>1067.7619</v>
      </c>
    </row>
    <row r="64" spans="1:40" ht="16.5" x14ac:dyDescent="0.45">
      <c r="A64" s="1" t="s">
        <v>66</v>
      </c>
      <c r="B64" s="1" t="s">
        <v>67</v>
      </c>
      <c r="C64" s="1" t="s">
        <v>41</v>
      </c>
      <c r="D64" s="1" t="s">
        <v>50</v>
      </c>
      <c r="E64" s="1" t="s">
        <v>51</v>
      </c>
      <c r="F64" s="1" t="s">
        <v>50</v>
      </c>
      <c r="G64" s="1" t="s">
        <v>51</v>
      </c>
      <c r="H64" s="1" t="s">
        <v>58</v>
      </c>
      <c r="I64" s="1" t="s">
        <v>59</v>
      </c>
      <c r="J64" s="1">
        <f t="shared" si="0"/>
        <v>100</v>
      </c>
      <c r="K64" s="3">
        <v>1</v>
      </c>
      <c r="L64" s="4">
        <v>36.07</v>
      </c>
      <c r="M64" s="5">
        <v>3.6374</v>
      </c>
      <c r="N64">
        <v>99.92</v>
      </c>
      <c r="O64">
        <v>99.89</v>
      </c>
      <c r="P64" s="6">
        <v>0.99880000000000002</v>
      </c>
      <c r="Q64" s="6">
        <v>0.99880000000000002</v>
      </c>
      <c r="R64">
        <v>0</v>
      </c>
      <c r="S64">
        <v>6.9999999999999993E-2</v>
      </c>
      <c r="T64" s="7">
        <v>0</v>
      </c>
      <c r="U64" s="7">
        <v>0</v>
      </c>
      <c r="V64" s="7">
        <v>0</v>
      </c>
      <c r="W64" s="7">
        <v>0</v>
      </c>
      <c r="X64" s="6">
        <v>0.44879999999999998</v>
      </c>
      <c r="Y64" s="6">
        <v>0.30649999999999999</v>
      </c>
      <c r="Z64" s="4">
        <v>-9.2799999999999994</v>
      </c>
      <c r="AA64" s="4">
        <v>-100.38</v>
      </c>
      <c r="AB64" s="6">
        <v>0.99980000000000002</v>
      </c>
      <c r="AD64" s="6">
        <v>0.71430000000000005</v>
      </c>
      <c r="AE64" s="6">
        <v>1.2999999999999999E-3</v>
      </c>
      <c r="AF64" s="6">
        <v>1E-3</v>
      </c>
      <c r="AG64" s="7">
        <v>0</v>
      </c>
      <c r="AH64" s="7">
        <v>0</v>
      </c>
      <c r="AI64" s="7">
        <v>30</v>
      </c>
      <c r="AJ64" s="3">
        <v>1</v>
      </c>
      <c r="AK64" s="7">
        <v>789501600</v>
      </c>
      <c r="AL64" s="5">
        <v>49.225000000000001</v>
      </c>
      <c r="AM64" s="5">
        <v>266.91969999999998</v>
      </c>
      <c r="AN64" s="5">
        <v>754.19380000000001</v>
      </c>
    </row>
    <row r="65" spans="1:40" ht="16.5" x14ac:dyDescent="0.45">
      <c r="A65" s="1" t="s">
        <v>67</v>
      </c>
      <c r="B65" s="1" t="s">
        <v>68</v>
      </c>
      <c r="C65" s="1" t="s">
        <v>41</v>
      </c>
      <c r="D65" s="1" t="s">
        <v>42</v>
      </c>
      <c r="E65" s="1" t="s">
        <v>43</v>
      </c>
      <c r="F65" s="1" t="s">
        <v>42</v>
      </c>
      <c r="G65" s="1" t="s">
        <v>43</v>
      </c>
      <c r="H65" s="1" t="s">
        <v>44</v>
      </c>
      <c r="I65" s="1" t="s">
        <v>45</v>
      </c>
      <c r="J65" s="1">
        <f t="shared" si="0"/>
        <v>100</v>
      </c>
      <c r="K65" s="3">
        <v>1</v>
      </c>
      <c r="L65" s="4">
        <v>34.76</v>
      </c>
      <c r="M65" s="5">
        <v>3.7818999999999998</v>
      </c>
      <c r="N65">
        <v>99.839999999999989</v>
      </c>
      <c r="O65">
        <v>99.78</v>
      </c>
      <c r="P65" s="6">
        <v>0.99790000000000001</v>
      </c>
      <c r="Q65" s="6">
        <v>0.99790000000000001</v>
      </c>
      <c r="R65">
        <v>0.04</v>
      </c>
      <c r="S65">
        <v>0.06</v>
      </c>
      <c r="T65" s="7">
        <v>0</v>
      </c>
      <c r="U65" s="7">
        <v>0</v>
      </c>
      <c r="V65" s="7">
        <v>0</v>
      </c>
      <c r="W65" s="7">
        <v>0</v>
      </c>
      <c r="X65" s="6">
        <v>0.48120000000000002</v>
      </c>
      <c r="Y65" s="6">
        <v>0.18279999999999999</v>
      </c>
      <c r="Z65" s="4">
        <v>-10.59</v>
      </c>
      <c r="AA65" s="4">
        <v>-97.53</v>
      </c>
      <c r="AB65" s="6">
        <v>0.99970000000000003</v>
      </c>
      <c r="AC65" s="7">
        <v>100</v>
      </c>
      <c r="AD65" s="3">
        <v>1</v>
      </c>
      <c r="AE65" s="6">
        <v>1.6000000000000001E-3</v>
      </c>
      <c r="AF65" s="6">
        <v>2.0000000000000001E-4</v>
      </c>
      <c r="AG65" s="7">
        <v>0</v>
      </c>
      <c r="AH65" s="7">
        <v>0</v>
      </c>
      <c r="AI65" s="7">
        <v>45</v>
      </c>
      <c r="AJ65" s="6">
        <v>0.99990000000000001</v>
      </c>
      <c r="AK65" s="7">
        <v>789501600</v>
      </c>
      <c r="AL65" s="5">
        <v>50.691699999999997</v>
      </c>
      <c r="AM65" s="5">
        <v>211.315</v>
      </c>
      <c r="AN65" s="5">
        <v>849.19889999999998</v>
      </c>
    </row>
    <row r="66" spans="1:40" ht="16.5" x14ac:dyDescent="0.45">
      <c r="A66" s="1" t="s">
        <v>67</v>
      </c>
      <c r="B66" s="1" t="s">
        <v>68</v>
      </c>
      <c r="C66" s="1" t="s">
        <v>41</v>
      </c>
      <c r="D66" s="1" t="s">
        <v>42</v>
      </c>
      <c r="E66" s="1" t="s">
        <v>43</v>
      </c>
      <c r="F66" s="1" t="s">
        <v>42</v>
      </c>
      <c r="G66" s="1" t="s">
        <v>43</v>
      </c>
      <c r="H66" s="1" t="s">
        <v>46</v>
      </c>
      <c r="I66" s="1" t="s">
        <v>47</v>
      </c>
      <c r="J66" s="1">
        <f t="shared" si="0"/>
        <v>100</v>
      </c>
      <c r="K66" s="3">
        <v>1</v>
      </c>
      <c r="L66" s="4">
        <v>23.92</v>
      </c>
      <c r="M66" s="5">
        <v>3.5461</v>
      </c>
      <c r="N66">
        <v>100</v>
      </c>
      <c r="O66">
        <v>99.8</v>
      </c>
      <c r="P66" s="6">
        <v>0.998</v>
      </c>
      <c r="Q66" s="6">
        <v>0.998</v>
      </c>
      <c r="R66">
        <v>0</v>
      </c>
      <c r="S66">
        <v>0.04</v>
      </c>
      <c r="T66" s="7">
        <v>0</v>
      </c>
      <c r="U66" s="7">
        <v>0</v>
      </c>
      <c r="V66" s="7">
        <v>0</v>
      </c>
      <c r="W66" s="7">
        <v>0</v>
      </c>
      <c r="X66" s="6">
        <v>0.3427</v>
      </c>
      <c r="Y66" s="6">
        <v>0.128</v>
      </c>
      <c r="Z66" s="4">
        <v>-8.81</v>
      </c>
      <c r="AA66" s="4">
        <v>-99.11</v>
      </c>
      <c r="AB66" s="6">
        <v>0.99970000000000003</v>
      </c>
      <c r="AD66" s="3">
        <v>0.5</v>
      </c>
      <c r="AE66" s="6">
        <v>1.6999999999999999E-3</v>
      </c>
      <c r="AF66" s="6">
        <v>5.9999999999999995E-4</v>
      </c>
      <c r="AG66" s="7">
        <v>0</v>
      </c>
      <c r="AH66" s="7">
        <v>0</v>
      </c>
      <c r="AI66" s="7">
        <v>45</v>
      </c>
      <c r="AJ66" s="6">
        <v>0.99990000000000001</v>
      </c>
      <c r="AK66" s="7">
        <v>789501600</v>
      </c>
      <c r="AL66" s="5">
        <v>36.773400000000002</v>
      </c>
      <c r="AM66" s="5">
        <v>226.32159999999999</v>
      </c>
      <c r="AN66" s="5">
        <v>769.01400000000001</v>
      </c>
    </row>
    <row r="67" spans="1:40" ht="16.5" x14ac:dyDescent="0.45">
      <c r="A67" s="1" t="s">
        <v>67</v>
      </c>
      <c r="B67" s="1" t="s">
        <v>68</v>
      </c>
      <c r="C67" s="1" t="s">
        <v>41</v>
      </c>
      <c r="D67" s="1" t="s">
        <v>42</v>
      </c>
      <c r="E67" s="1" t="s">
        <v>43</v>
      </c>
      <c r="F67" s="1" t="s">
        <v>42</v>
      </c>
      <c r="G67" s="1" t="s">
        <v>43</v>
      </c>
      <c r="H67" s="1" t="s">
        <v>48</v>
      </c>
      <c r="I67" s="1" t="s">
        <v>49</v>
      </c>
      <c r="J67" s="1">
        <f t="shared" ref="J67:J130" si="1">K67*100</f>
        <v>100</v>
      </c>
      <c r="K67" s="3">
        <v>1</v>
      </c>
      <c r="L67" s="4">
        <v>23.94</v>
      </c>
      <c r="M67" s="5">
        <v>3.2831000000000001</v>
      </c>
      <c r="N67">
        <v>99.339999999999989</v>
      </c>
      <c r="O67">
        <v>99.7</v>
      </c>
      <c r="P67" s="6">
        <v>0.997</v>
      </c>
      <c r="Q67" s="6">
        <v>0.99709999999999999</v>
      </c>
      <c r="R67">
        <v>0</v>
      </c>
      <c r="S67">
        <v>0.13999999999999999</v>
      </c>
      <c r="T67" s="7">
        <v>0</v>
      </c>
      <c r="U67" s="7">
        <v>0</v>
      </c>
      <c r="V67" s="7">
        <v>0</v>
      </c>
      <c r="W67" s="7">
        <v>0</v>
      </c>
      <c r="X67" s="6">
        <v>0.46920000000000001</v>
      </c>
      <c r="Y67" s="6">
        <v>0.19639999999999999</v>
      </c>
      <c r="Z67" s="4">
        <v>-9.3000000000000007</v>
      </c>
      <c r="AA67" s="4">
        <v>-98.09</v>
      </c>
      <c r="AB67" s="6">
        <v>0.99950000000000006</v>
      </c>
      <c r="AC67" s="4">
        <v>83.33</v>
      </c>
      <c r="AD67" s="6">
        <v>0.85189999999999999</v>
      </c>
      <c r="AE67" s="6">
        <v>1.6999999999999999E-3</v>
      </c>
      <c r="AF67" s="6">
        <v>6.9999999999999999E-4</v>
      </c>
      <c r="AG67" s="7">
        <v>0</v>
      </c>
      <c r="AH67" s="7">
        <v>0</v>
      </c>
      <c r="AI67" s="7">
        <v>35</v>
      </c>
      <c r="AJ67" s="6">
        <v>0.99950000000000006</v>
      </c>
      <c r="AK67" s="7">
        <v>789501600</v>
      </c>
      <c r="AL67" s="5">
        <v>42.33</v>
      </c>
      <c r="AM67" s="5">
        <v>174.8647</v>
      </c>
      <c r="AN67" s="5">
        <v>740.02949999999998</v>
      </c>
    </row>
    <row r="68" spans="1:40" ht="16.5" x14ac:dyDescent="0.45">
      <c r="A68" s="1" t="s">
        <v>67</v>
      </c>
      <c r="B68" s="1" t="s">
        <v>68</v>
      </c>
      <c r="C68" s="1" t="s">
        <v>41</v>
      </c>
      <c r="D68" s="1" t="s">
        <v>50</v>
      </c>
      <c r="E68" s="1" t="s">
        <v>51</v>
      </c>
      <c r="F68" s="1" t="s">
        <v>50</v>
      </c>
      <c r="G68" s="1" t="s">
        <v>51</v>
      </c>
      <c r="H68" s="1" t="s">
        <v>52</v>
      </c>
      <c r="I68" s="1" t="s">
        <v>53</v>
      </c>
      <c r="J68" s="1">
        <f t="shared" si="1"/>
        <v>100</v>
      </c>
      <c r="K68" s="3">
        <v>1</v>
      </c>
      <c r="L68" s="4">
        <v>58.92</v>
      </c>
      <c r="M68" s="5">
        <v>5.2685000000000004</v>
      </c>
      <c r="N68">
        <v>99.78</v>
      </c>
      <c r="O68">
        <v>99.839999999999989</v>
      </c>
      <c r="P68" s="6">
        <v>0.99839999999999995</v>
      </c>
      <c r="Q68" s="6">
        <v>0.99839999999999995</v>
      </c>
      <c r="R68">
        <v>0.1</v>
      </c>
      <c r="S68">
        <v>0.08</v>
      </c>
      <c r="T68" s="7">
        <v>0</v>
      </c>
      <c r="U68" s="7">
        <v>0</v>
      </c>
      <c r="V68" s="7">
        <v>0</v>
      </c>
      <c r="W68" s="7">
        <v>0</v>
      </c>
      <c r="X68" s="6">
        <v>0.63270000000000004</v>
      </c>
      <c r="Y68" s="6">
        <v>0.51180000000000003</v>
      </c>
      <c r="Z68" s="4">
        <v>-11.76</v>
      </c>
      <c r="AA68" s="4">
        <v>-95.79</v>
      </c>
      <c r="AB68" s="6">
        <v>0.99960000000000004</v>
      </c>
      <c r="AD68" s="6">
        <v>0.66669999999999996</v>
      </c>
      <c r="AE68" s="6">
        <v>1.9E-3</v>
      </c>
      <c r="AF68" s="6">
        <v>2.5999999999999999E-3</v>
      </c>
      <c r="AG68" s="7">
        <v>0</v>
      </c>
      <c r="AH68" s="7">
        <v>0</v>
      </c>
      <c r="AI68" s="7">
        <v>103</v>
      </c>
      <c r="AJ68" s="6">
        <v>0.99990000000000001</v>
      </c>
      <c r="AK68" s="7">
        <v>789501600</v>
      </c>
      <c r="AL68" s="5">
        <v>86.098299999999995</v>
      </c>
      <c r="AM68" s="5">
        <v>368.06450000000001</v>
      </c>
      <c r="AN68" s="5">
        <v>1136.6505999999999</v>
      </c>
    </row>
    <row r="69" spans="1:40" ht="16.5" x14ac:dyDescent="0.45">
      <c r="A69" s="1" t="s">
        <v>67</v>
      </c>
      <c r="B69" s="1" t="s">
        <v>68</v>
      </c>
      <c r="C69" s="1" t="s">
        <v>41</v>
      </c>
      <c r="D69" s="1" t="s">
        <v>50</v>
      </c>
      <c r="E69" s="1" t="s">
        <v>51</v>
      </c>
      <c r="F69" s="1" t="s">
        <v>50</v>
      </c>
      <c r="G69" s="1" t="s">
        <v>51</v>
      </c>
      <c r="H69" s="1" t="s">
        <v>54</v>
      </c>
      <c r="I69" s="1" t="s">
        <v>55</v>
      </c>
      <c r="J69" s="1">
        <f t="shared" si="1"/>
        <v>100</v>
      </c>
      <c r="K69" s="3">
        <v>1</v>
      </c>
      <c r="L69" s="4">
        <v>33.28</v>
      </c>
      <c r="M69" s="5">
        <v>5.0858999999999996</v>
      </c>
      <c r="N69">
        <v>99.72</v>
      </c>
      <c r="O69">
        <v>99.87</v>
      </c>
      <c r="P69" s="6">
        <v>0.99870000000000003</v>
      </c>
      <c r="Q69" s="6">
        <v>0.99880000000000002</v>
      </c>
      <c r="R69">
        <v>0.1</v>
      </c>
      <c r="S69">
        <v>0.04</v>
      </c>
      <c r="T69" s="7">
        <v>0</v>
      </c>
      <c r="U69" s="7">
        <v>0</v>
      </c>
      <c r="V69" s="7">
        <v>0</v>
      </c>
      <c r="W69" s="7">
        <v>0</v>
      </c>
      <c r="X69" s="6">
        <v>0.58450000000000002</v>
      </c>
      <c r="Y69" s="6">
        <v>0.26850000000000002</v>
      </c>
      <c r="Z69" s="4">
        <v>-10.78</v>
      </c>
      <c r="AA69" s="4">
        <v>-96.88</v>
      </c>
      <c r="AB69" s="6">
        <v>0.99960000000000004</v>
      </c>
      <c r="AD69" s="3">
        <v>1</v>
      </c>
      <c r="AE69" s="6">
        <v>2.0999999999999999E-3</v>
      </c>
      <c r="AF69" s="6">
        <v>4.4000000000000003E-3</v>
      </c>
      <c r="AG69" s="7">
        <v>0</v>
      </c>
      <c r="AH69" s="7">
        <v>0</v>
      </c>
      <c r="AI69" s="7">
        <v>36</v>
      </c>
      <c r="AJ69" s="3">
        <v>1</v>
      </c>
      <c r="AK69" s="7">
        <v>789501600</v>
      </c>
      <c r="AL69" s="5">
        <v>56.41</v>
      </c>
      <c r="AM69" s="5">
        <v>376.32909999999998</v>
      </c>
      <c r="AN69" s="5">
        <v>1065.0787</v>
      </c>
    </row>
    <row r="70" spans="1:40" ht="16.5" x14ac:dyDescent="0.45">
      <c r="A70" s="1" t="s">
        <v>67</v>
      </c>
      <c r="B70" s="1" t="s">
        <v>68</v>
      </c>
      <c r="C70" s="1" t="s">
        <v>41</v>
      </c>
      <c r="D70" s="1" t="s">
        <v>50</v>
      </c>
      <c r="E70" s="1" t="s">
        <v>51</v>
      </c>
      <c r="F70" s="1" t="s">
        <v>50</v>
      </c>
      <c r="G70" s="1" t="s">
        <v>51</v>
      </c>
      <c r="H70" s="1" t="s">
        <v>56</v>
      </c>
      <c r="I70" s="1" t="s">
        <v>57</v>
      </c>
      <c r="J70" s="1">
        <f t="shared" si="1"/>
        <v>100</v>
      </c>
      <c r="K70" s="3">
        <v>1</v>
      </c>
      <c r="L70" s="4">
        <v>71.3</v>
      </c>
      <c r="M70" s="5">
        <v>5.1928000000000001</v>
      </c>
      <c r="N70">
        <v>99.78</v>
      </c>
      <c r="O70">
        <v>99.79</v>
      </c>
      <c r="P70" s="6">
        <v>0.998</v>
      </c>
      <c r="Q70" s="6">
        <v>0.99809999999999999</v>
      </c>
      <c r="R70">
        <v>0</v>
      </c>
      <c r="S70">
        <v>0.08</v>
      </c>
      <c r="T70" s="7">
        <v>0</v>
      </c>
      <c r="U70" s="7">
        <v>0</v>
      </c>
      <c r="V70" s="7">
        <v>0</v>
      </c>
      <c r="W70" s="7">
        <v>1</v>
      </c>
      <c r="X70" s="6">
        <v>0.76090000000000002</v>
      </c>
      <c r="Y70" s="6">
        <v>0.50439999999999996</v>
      </c>
      <c r="Z70" s="4">
        <v>-11.63</v>
      </c>
      <c r="AA70" s="4">
        <v>-92.81</v>
      </c>
      <c r="AB70" s="6">
        <v>0.99960000000000004</v>
      </c>
      <c r="AD70" s="6">
        <v>0.77780000000000005</v>
      </c>
      <c r="AE70" s="6">
        <v>3.8E-3</v>
      </c>
      <c r="AF70" s="6">
        <v>7.3000000000000001E-3</v>
      </c>
      <c r="AG70" s="7">
        <v>0</v>
      </c>
      <c r="AH70" s="7">
        <v>0</v>
      </c>
      <c r="AI70" s="7">
        <v>39</v>
      </c>
      <c r="AJ70" s="3">
        <v>1</v>
      </c>
      <c r="AK70" s="7">
        <v>789501600</v>
      </c>
      <c r="AL70" s="5">
        <v>93.748400000000004</v>
      </c>
      <c r="AM70" s="5">
        <v>431.37520000000001</v>
      </c>
      <c r="AN70" s="5">
        <v>1029.5536</v>
      </c>
    </row>
    <row r="71" spans="1:40" ht="16.5" x14ac:dyDescent="0.45">
      <c r="A71" s="1" t="s">
        <v>67</v>
      </c>
      <c r="B71" s="1" t="s">
        <v>68</v>
      </c>
      <c r="C71" s="1" t="s">
        <v>41</v>
      </c>
      <c r="D71" s="1" t="s">
        <v>50</v>
      </c>
      <c r="E71" s="1" t="s">
        <v>51</v>
      </c>
      <c r="F71" s="1" t="s">
        <v>50</v>
      </c>
      <c r="G71" s="1" t="s">
        <v>51</v>
      </c>
      <c r="H71" s="1" t="s">
        <v>58</v>
      </c>
      <c r="I71" s="1" t="s">
        <v>59</v>
      </c>
      <c r="J71" s="1">
        <f t="shared" si="1"/>
        <v>100</v>
      </c>
      <c r="K71" s="3">
        <v>1</v>
      </c>
      <c r="L71" s="4">
        <v>38.39</v>
      </c>
      <c r="M71" s="5">
        <v>4.5223000000000004</v>
      </c>
      <c r="N71">
        <v>99.850000000000009</v>
      </c>
      <c r="O71">
        <v>99.83</v>
      </c>
      <c r="P71" s="6">
        <v>0.99829999999999997</v>
      </c>
      <c r="Q71" s="6">
        <v>0.99829999999999997</v>
      </c>
      <c r="R71">
        <v>0.09</v>
      </c>
      <c r="S71">
        <v>6.9999999999999993E-2</v>
      </c>
      <c r="T71" s="7">
        <v>0</v>
      </c>
      <c r="U71" s="7">
        <v>0</v>
      </c>
      <c r="V71" s="7">
        <v>0</v>
      </c>
      <c r="W71" s="7">
        <v>0</v>
      </c>
      <c r="X71" s="6">
        <v>0.4773</v>
      </c>
      <c r="Y71" s="6">
        <v>0.32550000000000001</v>
      </c>
      <c r="Z71" s="4">
        <v>-9.41</v>
      </c>
      <c r="AA71" s="4">
        <v>-100.16</v>
      </c>
      <c r="AB71" s="6">
        <v>0.99950000000000006</v>
      </c>
      <c r="AD71" s="3">
        <v>1</v>
      </c>
      <c r="AE71" s="6">
        <v>1.1999999999999999E-3</v>
      </c>
      <c r="AF71" s="6">
        <v>4.0000000000000002E-4</v>
      </c>
      <c r="AG71" s="7">
        <v>0</v>
      </c>
      <c r="AH71" s="7">
        <v>0</v>
      </c>
      <c r="AI71" s="7">
        <v>27</v>
      </c>
      <c r="AJ71" s="3">
        <v>1</v>
      </c>
      <c r="AK71" s="7">
        <v>789501600</v>
      </c>
      <c r="AL71" s="5">
        <v>50.7834</v>
      </c>
      <c r="AM71" s="5">
        <v>291.20100000000002</v>
      </c>
      <c r="AN71" s="5">
        <v>981.04539999999997</v>
      </c>
    </row>
    <row r="72" spans="1:40" ht="16.5" x14ac:dyDescent="0.45">
      <c r="A72" s="1" t="s">
        <v>68</v>
      </c>
      <c r="B72" s="1" t="s">
        <v>69</v>
      </c>
      <c r="C72" s="1" t="s">
        <v>41</v>
      </c>
      <c r="D72" s="1" t="s">
        <v>42</v>
      </c>
      <c r="E72" s="1" t="s">
        <v>43</v>
      </c>
      <c r="F72" s="1" t="s">
        <v>42</v>
      </c>
      <c r="G72" s="1" t="s">
        <v>43</v>
      </c>
      <c r="H72" s="1" t="s">
        <v>44</v>
      </c>
      <c r="I72" s="1" t="s">
        <v>45</v>
      </c>
      <c r="J72" s="1">
        <f t="shared" si="1"/>
        <v>100</v>
      </c>
      <c r="K72" s="3">
        <v>1</v>
      </c>
      <c r="L72" s="4">
        <v>43.26</v>
      </c>
      <c r="M72" s="5">
        <v>3.6846000000000001</v>
      </c>
      <c r="N72">
        <v>99.69</v>
      </c>
      <c r="O72">
        <v>99.839999999999989</v>
      </c>
      <c r="P72" s="6">
        <v>0.99850000000000005</v>
      </c>
      <c r="Q72" s="6">
        <v>0.99870000000000003</v>
      </c>
      <c r="R72">
        <v>0.04</v>
      </c>
      <c r="S72">
        <v>6.9999999999999993E-2</v>
      </c>
      <c r="T72" s="7">
        <v>0</v>
      </c>
      <c r="U72" s="7">
        <v>0</v>
      </c>
      <c r="V72" s="7">
        <v>0</v>
      </c>
      <c r="W72" s="7">
        <v>0</v>
      </c>
      <c r="X72" s="6">
        <v>0.48299999999999998</v>
      </c>
      <c r="Y72" s="6">
        <v>0.17299999999999999</v>
      </c>
      <c r="Z72" s="4">
        <v>-10.89</v>
      </c>
      <c r="AA72" s="4">
        <v>-97.22</v>
      </c>
      <c r="AB72" s="6">
        <v>0.99960000000000004</v>
      </c>
      <c r="AD72" s="6">
        <v>0.85709999999999997</v>
      </c>
      <c r="AE72" s="6">
        <v>1.1999999999999999E-3</v>
      </c>
      <c r="AF72" s="6">
        <v>5.0000000000000001E-4</v>
      </c>
      <c r="AG72" s="7">
        <v>0</v>
      </c>
      <c r="AH72" s="7">
        <v>0</v>
      </c>
      <c r="AI72" s="7">
        <v>22</v>
      </c>
      <c r="AJ72" s="6">
        <v>0.99990000000000001</v>
      </c>
      <c r="AK72" s="7">
        <v>789501600</v>
      </c>
      <c r="AL72" s="5">
        <v>52.58</v>
      </c>
      <c r="AM72" s="5">
        <v>223.80770000000001</v>
      </c>
      <c r="AN72" s="5">
        <v>790.24149999999997</v>
      </c>
    </row>
    <row r="73" spans="1:40" ht="16.5" x14ac:dyDescent="0.45">
      <c r="A73" s="1" t="s">
        <v>68</v>
      </c>
      <c r="B73" s="1" t="s">
        <v>69</v>
      </c>
      <c r="C73" s="1" t="s">
        <v>41</v>
      </c>
      <c r="D73" s="1" t="s">
        <v>42</v>
      </c>
      <c r="E73" s="1" t="s">
        <v>43</v>
      </c>
      <c r="F73" s="1" t="s">
        <v>42</v>
      </c>
      <c r="G73" s="1" t="s">
        <v>43</v>
      </c>
      <c r="H73" s="1" t="s">
        <v>46</v>
      </c>
      <c r="I73" s="1" t="s">
        <v>47</v>
      </c>
      <c r="J73" s="1">
        <f t="shared" si="1"/>
        <v>100</v>
      </c>
      <c r="K73" s="3">
        <v>1</v>
      </c>
      <c r="L73" s="4">
        <v>26.43</v>
      </c>
      <c r="M73" s="5">
        <v>3.9443000000000001</v>
      </c>
      <c r="N73">
        <v>99.72</v>
      </c>
      <c r="O73">
        <v>99.75</v>
      </c>
      <c r="P73" s="6">
        <v>0.99750000000000005</v>
      </c>
      <c r="Q73" s="6">
        <v>0.99760000000000004</v>
      </c>
      <c r="R73">
        <v>0.12</v>
      </c>
      <c r="S73">
        <v>0.05</v>
      </c>
      <c r="T73" s="7">
        <v>0</v>
      </c>
      <c r="U73" s="7">
        <v>0</v>
      </c>
      <c r="V73" s="7">
        <v>0</v>
      </c>
      <c r="W73" s="7">
        <v>0</v>
      </c>
      <c r="X73" s="6">
        <v>0.36799999999999999</v>
      </c>
      <c r="Y73" s="6">
        <v>0.1346</v>
      </c>
      <c r="Z73" s="4">
        <v>-9.39</v>
      </c>
      <c r="AA73" s="4">
        <v>-98.41</v>
      </c>
      <c r="AB73" s="6">
        <v>0.99960000000000004</v>
      </c>
      <c r="AD73" s="3">
        <v>1</v>
      </c>
      <c r="AE73" s="6">
        <v>1.6000000000000001E-3</v>
      </c>
      <c r="AF73" s="6">
        <v>1.5E-3</v>
      </c>
      <c r="AG73" s="7">
        <v>0</v>
      </c>
      <c r="AH73" s="7">
        <v>0</v>
      </c>
      <c r="AI73" s="7">
        <v>54</v>
      </c>
      <c r="AJ73" s="6">
        <v>0.99990000000000001</v>
      </c>
      <c r="AK73" s="7">
        <v>789501600</v>
      </c>
      <c r="AL73" s="5">
        <v>40.576700000000002</v>
      </c>
      <c r="AM73" s="5">
        <v>229.35169999999999</v>
      </c>
      <c r="AN73" s="5">
        <v>899.46249999999998</v>
      </c>
    </row>
    <row r="74" spans="1:40" ht="16.5" x14ac:dyDescent="0.45">
      <c r="A74" s="1" t="s">
        <v>68</v>
      </c>
      <c r="B74" s="1" t="s">
        <v>69</v>
      </c>
      <c r="C74" s="1" t="s">
        <v>41</v>
      </c>
      <c r="D74" s="1" t="s">
        <v>42</v>
      </c>
      <c r="E74" s="1" t="s">
        <v>43</v>
      </c>
      <c r="F74" s="1" t="s">
        <v>42</v>
      </c>
      <c r="G74" s="1" t="s">
        <v>43</v>
      </c>
      <c r="H74" s="1" t="s">
        <v>48</v>
      </c>
      <c r="I74" s="1" t="s">
        <v>49</v>
      </c>
      <c r="J74" s="1">
        <f t="shared" si="1"/>
        <v>100</v>
      </c>
      <c r="K74" s="3">
        <v>1</v>
      </c>
      <c r="L74" s="4">
        <v>28.66</v>
      </c>
      <c r="M74" s="5">
        <v>3.2254</v>
      </c>
      <c r="N74">
        <v>99.49</v>
      </c>
      <c r="O74">
        <v>99.78</v>
      </c>
      <c r="P74" s="6">
        <v>0.99790000000000001</v>
      </c>
      <c r="Q74" s="6">
        <v>0.99790000000000001</v>
      </c>
      <c r="R74">
        <v>6.9999999999999993E-2</v>
      </c>
      <c r="S74">
        <v>0.1</v>
      </c>
      <c r="T74" s="7">
        <v>0</v>
      </c>
      <c r="U74" s="7">
        <v>0</v>
      </c>
      <c r="V74" s="7">
        <v>0</v>
      </c>
      <c r="W74" s="7">
        <v>0</v>
      </c>
      <c r="X74" s="6">
        <v>0.4758</v>
      </c>
      <c r="Y74" s="6">
        <v>0.16300000000000001</v>
      </c>
      <c r="Z74" s="4">
        <v>-9.48</v>
      </c>
      <c r="AA74" s="4">
        <v>-97.69</v>
      </c>
      <c r="AB74" s="6">
        <v>0.99960000000000004</v>
      </c>
      <c r="AC74" s="7">
        <v>100</v>
      </c>
      <c r="AD74" s="6">
        <v>0.87270000000000003</v>
      </c>
      <c r="AE74" s="6">
        <v>1.2999999999999999E-3</v>
      </c>
      <c r="AF74" s="6">
        <v>8.0000000000000004E-4</v>
      </c>
      <c r="AG74" s="7">
        <v>0</v>
      </c>
      <c r="AH74" s="7">
        <v>0</v>
      </c>
      <c r="AI74" s="7">
        <v>47</v>
      </c>
      <c r="AJ74" s="6">
        <v>0.99960000000000004</v>
      </c>
      <c r="AK74" s="7">
        <v>789501600</v>
      </c>
      <c r="AL74" s="5">
        <v>43.185099999999998</v>
      </c>
      <c r="AM74" s="5">
        <v>216.70570000000001</v>
      </c>
      <c r="AN74" s="5">
        <v>694.41030000000001</v>
      </c>
    </row>
    <row r="75" spans="1:40" ht="16.5" x14ac:dyDescent="0.45">
      <c r="A75" s="1" t="s">
        <v>68</v>
      </c>
      <c r="B75" s="1" t="s">
        <v>69</v>
      </c>
      <c r="C75" s="1" t="s">
        <v>41</v>
      </c>
      <c r="D75" s="1" t="s">
        <v>50</v>
      </c>
      <c r="E75" s="1" t="s">
        <v>51</v>
      </c>
      <c r="F75" s="1" t="s">
        <v>50</v>
      </c>
      <c r="G75" s="1" t="s">
        <v>51</v>
      </c>
      <c r="H75" s="1" t="s">
        <v>52</v>
      </c>
      <c r="I75" s="1" t="s">
        <v>53</v>
      </c>
      <c r="J75" s="1">
        <f t="shared" si="1"/>
        <v>100</v>
      </c>
      <c r="K75" s="3">
        <v>1</v>
      </c>
      <c r="L75" s="4">
        <v>62.32</v>
      </c>
      <c r="M75" s="5">
        <v>5.3049999999999997</v>
      </c>
      <c r="N75">
        <v>99.72999999999999</v>
      </c>
      <c r="O75">
        <v>99.86</v>
      </c>
      <c r="P75" s="6">
        <v>0.99860000000000004</v>
      </c>
      <c r="Q75" s="6">
        <v>0.99860000000000004</v>
      </c>
      <c r="R75">
        <v>0.05</v>
      </c>
      <c r="S75">
        <v>6.9999999999999993E-2</v>
      </c>
      <c r="T75" s="7">
        <v>0</v>
      </c>
      <c r="U75" s="7">
        <v>0</v>
      </c>
      <c r="V75" s="7">
        <v>0</v>
      </c>
      <c r="W75" s="7">
        <v>0</v>
      </c>
      <c r="X75" s="6">
        <v>0.62339999999999995</v>
      </c>
      <c r="Y75" s="6">
        <v>0.54400000000000004</v>
      </c>
      <c r="Z75" s="4">
        <v>-11.62</v>
      </c>
      <c r="AA75" s="4">
        <v>-94.91</v>
      </c>
      <c r="AB75" s="6">
        <v>0.99960000000000004</v>
      </c>
      <c r="AC75" s="7">
        <v>0</v>
      </c>
      <c r="AD75" s="3">
        <v>0.75</v>
      </c>
      <c r="AE75" s="6">
        <v>1.9E-3</v>
      </c>
      <c r="AF75" s="6">
        <v>1.2999999999999999E-3</v>
      </c>
      <c r="AG75" s="7">
        <v>0</v>
      </c>
      <c r="AH75" s="7">
        <v>0</v>
      </c>
      <c r="AI75" s="7">
        <v>83</v>
      </c>
      <c r="AJ75" s="6">
        <v>0.99990000000000001</v>
      </c>
      <c r="AK75" s="7">
        <v>789501600</v>
      </c>
      <c r="AL75" s="5">
        <v>87.061700000000002</v>
      </c>
      <c r="AM75" s="5">
        <v>365.2638</v>
      </c>
      <c r="AN75" s="5">
        <v>1153.7258999999999</v>
      </c>
    </row>
    <row r="76" spans="1:40" ht="16.5" x14ac:dyDescent="0.45">
      <c r="A76" s="1" t="s">
        <v>68</v>
      </c>
      <c r="B76" s="1" t="s">
        <v>69</v>
      </c>
      <c r="C76" s="1" t="s">
        <v>41</v>
      </c>
      <c r="D76" s="1" t="s">
        <v>50</v>
      </c>
      <c r="E76" s="1" t="s">
        <v>51</v>
      </c>
      <c r="F76" s="1" t="s">
        <v>50</v>
      </c>
      <c r="G76" s="1" t="s">
        <v>51</v>
      </c>
      <c r="H76" s="1" t="s">
        <v>54</v>
      </c>
      <c r="I76" s="1" t="s">
        <v>55</v>
      </c>
      <c r="J76" s="1">
        <f t="shared" si="1"/>
        <v>100</v>
      </c>
      <c r="K76" s="3">
        <v>1</v>
      </c>
      <c r="L76" s="4">
        <v>34.159999999999997</v>
      </c>
      <c r="M76" s="5">
        <v>4.4433999999999996</v>
      </c>
      <c r="N76">
        <v>99.63</v>
      </c>
      <c r="O76">
        <v>99.87</v>
      </c>
      <c r="P76" s="6">
        <v>0.99870000000000003</v>
      </c>
      <c r="Q76" s="6">
        <v>0.99880000000000002</v>
      </c>
      <c r="R76">
        <v>0.13999999999999999</v>
      </c>
      <c r="S76">
        <v>0.06</v>
      </c>
      <c r="T76" s="7">
        <v>0</v>
      </c>
      <c r="U76" s="7">
        <v>0</v>
      </c>
      <c r="V76" s="7">
        <v>0</v>
      </c>
      <c r="W76" s="7">
        <v>0</v>
      </c>
      <c r="X76" s="6">
        <v>0.57069999999999999</v>
      </c>
      <c r="Y76" s="6">
        <v>0.29449999999999998</v>
      </c>
      <c r="Z76" s="4">
        <v>-10.65</v>
      </c>
      <c r="AA76" s="4">
        <v>-96.31</v>
      </c>
      <c r="AB76" s="6">
        <v>0.99970000000000003</v>
      </c>
      <c r="AD76" s="3">
        <v>1</v>
      </c>
      <c r="AE76" s="6">
        <v>2.3999999999999998E-3</v>
      </c>
      <c r="AF76" s="6">
        <v>4.4000000000000003E-3</v>
      </c>
      <c r="AG76" s="7">
        <v>0</v>
      </c>
      <c r="AH76" s="7">
        <v>0</v>
      </c>
      <c r="AI76" s="7">
        <v>30</v>
      </c>
      <c r="AJ76" s="3">
        <v>1</v>
      </c>
      <c r="AK76" s="7">
        <v>789501600</v>
      </c>
      <c r="AL76" s="5">
        <v>55.14</v>
      </c>
      <c r="AM76" s="5">
        <v>309.55970000000002</v>
      </c>
      <c r="AN76" s="5">
        <v>954.62729999999999</v>
      </c>
    </row>
    <row r="77" spans="1:40" ht="16.5" x14ac:dyDescent="0.45">
      <c r="A77" s="1" t="s">
        <v>68</v>
      </c>
      <c r="B77" s="1" t="s">
        <v>69</v>
      </c>
      <c r="C77" s="1" t="s">
        <v>41</v>
      </c>
      <c r="D77" s="1" t="s">
        <v>50</v>
      </c>
      <c r="E77" s="1" t="s">
        <v>51</v>
      </c>
      <c r="F77" s="1" t="s">
        <v>50</v>
      </c>
      <c r="G77" s="1" t="s">
        <v>51</v>
      </c>
      <c r="H77" s="1" t="s">
        <v>56</v>
      </c>
      <c r="I77" s="1" t="s">
        <v>57</v>
      </c>
      <c r="J77" s="1">
        <f t="shared" si="1"/>
        <v>100</v>
      </c>
      <c r="K77" s="3">
        <v>1</v>
      </c>
      <c r="L77" s="4">
        <v>69.78</v>
      </c>
      <c r="M77" s="5">
        <v>5.3072999999999997</v>
      </c>
      <c r="N77">
        <v>99.86</v>
      </c>
      <c r="O77">
        <v>99.83</v>
      </c>
      <c r="P77" s="6">
        <v>0.99839999999999995</v>
      </c>
      <c r="Q77" s="6">
        <v>0.99839999999999995</v>
      </c>
      <c r="R77">
        <v>0.06</v>
      </c>
      <c r="S77">
        <v>0.08</v>
      </c>
      <c r="T77" s="7">
        <v>0</v>
      </c>
      <c r="U77" s="7">
        <v>0</v>
      </c>
      <c r="V77" s="7">
        <v>0</v>
      </c>
      <c r="W77" s="7">
        <v>0</v>
      </c>
      <c r="X77" s="6">
        <v>0.75690000000000002</v>
      </c>
      <c r="Y77" s="6">
        <v>0.48780000000000001</v>
      </c>
      <c r="Z77" s="4">
        <v>-11.55</v>
      </c>
      <c r="AA77" s="4">
        <v>-92.81</v>
      </c>
      <c r="AB77" s="6">
        <v>0.99970000000000003</v>
      </c>
      <c r="AD77" s="6">
        <v>0.871</v>
      </c>
      <c r="AE77" s="6">
        <v>3.7000000000000002E-3</v>
      </c>
      <c r="AF77" s="6">
        <v>8.9999999999999993E-3</v>
      </c>
      <c r="AG77" s="7">
        <v>0</v>
      </c>
      <c r="AH77" s="7">
        <v>0</v>
      </c>
      <c r="AI77" s="7">
        <v>47</v>
      </c>
      <c r="AJ77" s="3">
        <v>1</v>
      </c>
      <c r="AK77" s="7">
        <v>789501600</v>
      </c>
      <c r="AL77" s="5">
        <v>87.9666</v>
      </c>
      <c r="AM77" s="5">
        <v>378.85860000000002</v>
      </c>
      <c r="AN77" s="5">
        <v>1117.2027</v>
      </c>
    </row>
    <row r="78" spans="1:40" ht="16.5" x14ac:dyDescent="0.45">
      <c r="A78" s="1" t="s">
        <v>68</v>
      </c>
      <c r="B78" s="1" t="s">
        <v>69</v>
      </c>
      <c r="C78" s="1" t="s">
        <v>41</v>
      </c>
      <c r="D78" s="1" t="s">
        <v>50</v>
      </c>
      <c r="E78" s="1" t="s">
        <v>51</v>
      </c>
      <c r="F78" s="1" t="s">
        <v>50</v>
      </c>
      <c r="G78" s="1" t="s">
        <v>51</v>
      </c>
      <c r="H78" s="1" t="s">
        <v>58</v>
      </c>
      <c r="I78" s="1" t="s">
        <v>59</v>
      </c>
      <c r="J78" s="1">
        <f t="shared" si="1"/>
        <v>100</v>
      </c>
      <c r="K78" s="3">
        <v>1</v>
      </c>
      <c r="L78" s="4">
        <v>34.840000000000003</v>
      </c>
      <c r="M78" s="5">
        <v>5.5019999999999998</v>
      </c>
      <c r="N78">
        <v>99.77000000000001</v>
      </c>
      <c r="O78">
        <v>99.839999999999989</v>
      </c>
      <c r="P78" s="6">
        <v>0.99839999999999995</v>
      </c>
      <c r="Q78" s="6">
        <v>0.99850000000000005</v>
      </c>
      <c r="R78">
        <v>0</v>
      </c>
      <c r="S78">
        <v>0.04</v>
      </c>
      <c r="T78" s="7">
        <v>0</v>
      </c>
      <c r="U78" s="7">
        <v>0</v>
      </c>
      <c r="V78" s="7">
        <v>0</v>
      </c>
      <c r="W78" s="7">
        <v>0</v>
      </c>
      <c r="X78" s="6">
        <v>0.54749999999999999</v>
      </c>
      <c r="Y78" s="6">
        <v>0.35930000000000001</v>
      </c>
      <c r="Z78" s="7">
        <v>-10</v>
      </c>
      <c r="AA78" s="4">
        <v>-99.55</v>
      </c>
      <c r="AB78" s="6">
        <v>0.99960000000000004</v>
      </c>
      <c r="AD78" s="6">
        <v>0.83330000000000004</v>
      </c>
      <c r="AE78" s="6">
        <v>1.2999999999999999E-3</v>
      </c>
      <c r="AF78" s="6">
        <v>8.0000000000000004E-4</v>
      </c>
      <c r="AG78" s="7">
        <v>0</v>
      </c>
      <c r="AH78" s="7">
        <v>0</v>
      </c>
      <c r="AI78" s="7">
        <v>24</v>
      </c>
      <c r="AJ78" s="3">
        <v>1</v>
      </c>
      <c r="AK78" s="7">
        <v>789501600</v>
      </c>
      <c r="AL78" s="5">
        <v>55.64</v>
      </c>
      <c r="AM78" s="5">
        <v>344.82580000000002</v>
      </c>
      <c r="AN78" s="5">
        <v>1208.9048</v>
      </c>
    </row>
    <row r="79" spans="1:40" ht="16.5" x14ac:dyDescent="0.45">
      <c r="A79" s="1" t="s">
        <v>69</v>
      </c>
      <c r="B79" s="1" t="s">
        <v>70</v>
      </c>
      <c r="C79" s="1" t="s">
        <v>41</v>
      </c>
      <c r="D79" s="1" t="s">
        <v>42</v>
      </c>
      <c r="E79" s="1" t="s">
        <v>43</v>
      </c>
      <c r="F79" s="1" t="s">
        <v>42</v>
      </c>
      <c r="G79" s="1" t="s">
        <v>43</v>
      </c>
      <c r="H79" s="1" t="s">
        <v>44</v>
      </c>
      <c r="I79" s="1" t="s">
        <v>45</v>
      </c>
      <c r="J79" s="1">
        <f t="shared" si="1"/>
        <v>100</v>
      </c>
      <c r="K79" s="3">
        <v>1</v>
      </c>
      <c r="L79" s="4">
        <v>33.32</v>
      </c>
      <c r="M79" s="5">
        <v>4.9996</v>
      </c>
      <c r="N79">
        <v>99.8</v>
      </c>
      <c r="O79">
        <v>99.88</v>
      </c>
      <c r="P79" s="6">
        <v>0.99890000000000001</v>
      </c>
      <c r="Q79" s="6">
        <v>0.99880000000000002</v>
      </c>
      <c r="R79">
        <v>0</v>
      </c>
      <c r="S79">
        <v>0.05</v>
      </c>
      <c r="T79" s="7">
        <v>0</v>
      </c>
      <c r="U79" s="7">
        <v>0</v>
      </c>
      <c r="V79" s="7">
        <v>0</v>
      </c>
      <c r="W79" s="7">
        <v>0</v>
      </c>
      <c r="X79" s="6">
        <v>0.60089999999999999</v>
      </c>
      <c r="Y79" s="6">
        <v>0.1772</v>
      </c>
      <c r="Z79" s="4">
        <v>-11.29</v>
      </c>
      <c r="AA79" s="4">
        <v>-97.31</v>
      </c>
      <c r="AB79" s="6">
        <v>0.99970000000000003</v>
      </c>
      <c r="AD79" s="3">
        <v>1</v>
      </c>
      <c r="AE79" s="6">
        <v>1.1999999999999999E-3</v>
      </c>
      <c r="AF79" s="6">
        <v>1E-4</v>
      </c>
      <c r="AG79" s="7">
        <v>0</v>
      </c>
      <c r="AH79" s="7">
        <v>0</v>
      </c>
      <c r="AI79" s="7">
        <v>30</v>
      </c>
      <c r="AJ79" s="6">
        <v>0.99990000000000001</v>
      </c>
      <c r="AK79" s="7">
        <v>789501600</v>
      </c>
      <c r="AL79" s="5">
        <v>54.09</v>
      </c>
      <c r="AM79" s="5">
        <v>244.32310000000001</v>
      </c>
      <c r="AN79" s="5">
        <v>1161.0102999999999</v>
      </c>
    </row>
    <row r="80" spans="1:40" ht="16.5" x14ac:dyDescent="0.45">
      <c r="A80" s="1" t="s">
        <v>69</v>
      </c>
      <c r="B80" s="1" t="s">
        <v>70</v>
      </c>
      <c r="C80" s="1" t="s">
        <v>41</v>
      </c>
      <c r="D80" s="1" t="s">
        <v>42</v>
      </c>
      <c r="E80" s="1" t="s">
        <v>43</v>
      </c>
      <c r="F80" s="1" t="s">
        <v>42</v>
      </c>
      <c r="G80" s="1" t="s">
        <v>43</v>
      </c>
      <c r="H80" s="1" t="s">
        <v>46</v>
      </c>
      <c r="I80" s="1" t="s">
        <v>47</v>
      </c>
      <c r="J80" s="1">
        <f t="shared" si="1"/>
        <v>100</v>
      </c>
      <c r="K80" s="3">
        <v>1</v>
      </c>
      <c r="L80" s="4">
        <v>28.11</v>
      </c>
      <c r="M80" s="5">
        <v>2.8978999999999999</v>
      </c>
      <c r="N80">
        <v>99.88</v>
      </c>
      <c r="O80">
        <v>99.88</v>
      </c>
      <c r="P80" s="6">
        <v>0.99880000000000002</v>
      </c>
      <c r="Q80" s="6">
        <v>0.99880000000000002</v>
      </c>
      <c r="R80">
        <v>0</v>
      </c>
      <c r="S80">
        <v>0.11</v>
      </c>
      <c r="T80" s="7">
        <v>0</v>
      </c>
      <c r="U80" s="7">
        <v>0</v>
      </c>
      <c r="V80" s="7">
        <v>0</v>
      </c>
      <c r="W80" s="7">
        <v>0</v>
      </c>
      <c r="X80" s="6">
        <v>0.3382</v>
      </c>
      <c r="Y80" s="6">
        <v>0.1426</v>
      </c>
      <c r="Z80" s="4">
        <v>-9.19</v>
      </c>
      <c r="AA80" s="4">
        <v>-98.58</v>
      </c>
      <c r="AB80" s="6">
        <v>0.99980000000000002</v>
      </c>
      <c r="AD80" s="3">
        <v>0.5</v>
      </c>
      <c r="AE80" s="6">
        <v>1.5E-3</v>
      </c>
      <c r="AF80" s="6">
        <v>2.0000000000000001E-4</v>
      </c>
      <c r="AG80" s="7">
        <v>0</v>
      </c>
      <c r="AH80" s="7">
        <v>0</v>
      </c>
      <c r="AI80" s="7">
        <v>56</v>
      </c>
      <c r="AJ80" s="6">
        <v>0.99990000000000001</v>
      </c>
      <c r="AK80" s="7">
        <v>789501600</v>
      </c>
      <c r="AL80" s="5">
        <v>41.721699999999998</v>
      </c>
      <c r="AM80" s="5">
        <v>217.25890000000001</v>
      </c>
      <c r="AN80" s="5">
        <v>594.5566</v>
      </c>
    </row>
    <row r="81" spans="1:40" ht="16.5" x14ac:dyDescent="0.45">
      <c r="A81" s="1" t="s">
        <v>69</v>
      </c>
      <c r="B81" s="1" t="s">
        <v>70</v>
      </c>
      <c r="C81" s="1" t="s">
        <v>41</v>
      </c>
      <c r="D81" s="1" t="s">
        <v>42</v>
      </c>
      <c r="E81" s="1" t="s">
        <v>43</v>
      </c>
      <c r="F81" s="1" t="s">
        <v>42</v>
      </c>
      <c r="G81" s="1" t="s">
        <v>43</v>
      </c>
      <c r="H81" s="1" t="s">
        <v>48</v>
      </c>
      <c r="I81" s="1" t="s">
        <v>49</v>
      </c>
      <c r="J81" s="1">
        <f t="shared" si="1"/>
        <v>100</v>
      </c>
      <c r="K81" s="3">
        <v>1</v>
      </c>
      <c r="L81" s="4">
        <v>24.82</v>
      </c>
      <c r="M81" s="5">
        <v>3.1219999999999999</v>
      </c>
      <c r="N81">
        <v>99.51</v>
      </c>
      <c r="O81">
        <v>99.72999999999999</v>
      </c>
      <c r="P81" s="6">
        <v>0.99729999999999996</v>
      </c>
      <c r="Q81" s="6">
        <v>0.99760000000000004</v>
      </c>
      <c r="R81">
        <v>6.9999999999999993E-2</v>
      </c>
      <c r="S81">
        <v>0.1</v>
      </c>
      <c r="T81" s="7">
        <v>0</v>
      </c>
      <c r="U81" s="7">
        <v>0</v>
      </c>
      <c r="V81" s="7">
        <v>0</v>
      </c>
      <c r="W81" s="7">
        <v>0</v>
      </c>
      <c r="X81" s="6">
        <v>0.46960000000000002</v>
      </c>
      <c r="Y81" s="6">
        <v>0.17050000000000001</v>
      </c>
      <c r="Z81" s="4">
        <v>-9.43</v>
      </c>
      <c r="AA81" s="4">
        <v>-97.79</v>
      </c>
      <c r="AB81" s="6">
        <v>0.99929999999999997</v>
      </c>
      <c r="AC81" s="4">
        <v>94.12</v>
      </c>
      <c r="AD81" s="6">
        <v>0.93179999999999996</v>
      </c>
      <c r="AE81" s="6">
        <v>1.6000000000000001E-3</v>
      </c>
      <c r="AF81" s="6">
        <v>8.9999999999999998E-4</v>
      </c>
      <c r="AG81" s="7">
        <v>0</v>
      </c>
      <c r="AH81" s="7">
        <v>0</v>
      </c>
      <c r="AI81" s="7">
        <v>38</v>
      </c>
      <c r="AJ81" s="6">
        <v>0.99960000000000004</v>
      </c>
      <c r="AK81" s="7">
        <v>789501600</v>
      </c>
      <c r="AL81" s="5">
        <v>42.2117</v>
      </c>
      <c r="AM81" s="5">
        <v>237.5462</v>
      </c>
      <c r="AN81" s="5">
        <v>653.97630000000004</v>
      </c>
    </row>
    <row r="82" spans="1:40" ht="16.5" x14ac:dyDescent="0.45">
      <c r="A82" s="1" t="s">
        <v>69</v>
      </c>
      <c r="B82" s="1" t="s">
        <v>70</v>
      </c>
      <c r="C82" s="1" t="s">
        <v>41</v>
      </c>
      <c r="D82" s="1" t="s">
        <v>50</v>
      </c>
      <c r="E82" s="1" t="s">
        <v>51</v>
      </c>
      <c r="F82" s="1" t="s">
        <v>50</v>
      </c>
      <c r="G82" s="1" t="s">
        <v>51</v>
      </c>
      <c r="H82" s="1" t="s">
        <v>52</v>
      </c>
      <c r="I82" s="1" t="s">
        <v>53</v>
      </c>
      <c r="J82" s="1">
        <f t="shared" si="1"/>
        <v>100</v>
      </c>
      <c r="K82" s="3">
        <v>1</v>
      </c>
      <c r="L82" s="4">
        <v>67.27</v>
      </c>
      <c r="M82" s="5">
        <v>5.6984000000000004</v>
      </c>
      <c r="N82">
        <v>99.64</v>
      </c>
      <c r="O82">
        <v>99.83</v>
      </c>
      <c r="P82" s="6">
        <v>0.99839999999999995</v>
      </c>
      <c r="Q82" s="6">
        <v>0.99839999999999995</v>
      </c>
      <c r="R82">
        <v>0.02</v>
      </c>
      <c r="S82">
        <v>0.09</v>
      </c>
      <c r="T82" s="7">
        <v>0</v>
      </c>
      <c r="U82" s="7">
        <v>0</v>
      </c>
      <c r="V82" s="7">
        <v>0</v>
      </c>
      <c r="W82" s="7">
        <v>0</v>
      </c>
      <c r="X82" s="6">
        <v>0.64770000000000005</v>
      </c>
      <c r="Y82" s="6">
        <v>0.53249999999999997</v>
      </c>
      <c r="Z82" s="4">
        <v>-11.92</v>
      </c>
      <c r="AA82" s="4">
        <v>-94.59</v>
      </c>
      <c r="AB82" s="6">
        <v>0.99950000000000006</v>
      </c>
      <c r="AC82" s="7">
        <v>80</v>
      </c>
      <c r="AD82" s="3">
        <v>1</v>
      </c>
      <c r="AE82" s="6">
        <v>2.2000000000000001E-3</v>
      </c>
      <c r="AF82" s="6">
        <v>2.0999999999999999E-3</v>
      </c>
      <c r="AG82" s="7">
        <v>0</v>
      </c>
      <c r="AH82" s="7">
        <v>0</v>
      </c>
      <c r="AI82" s="7">
        <v>89</v>
      </c>
      <c r="AJ82" s="6">
        <v>0.99990000000000001</v>
      </c>
      <c r="AK82" s="7">
        <v>789501600</v>
      </c>
      <c r="AL82" s="5">
        <v>100.33839999999999</v>
      </c>
      <c r="AM82" s="5">
        <v>402.26560000000001</v>
      </c>
      <c r="AN82" s="5">
        <v>1231.0898999999999</v>
      </c>
    </row>
    <row r="83" spans="1:40" ht="16.5" x14ac:dyDescent="0.45">
      <c r="A83" s="1" t="s">
        <v>69</v>
      </c>
      <c r="B83" s="1" t="s">
        <v>70</v>
      </c>
      <c r="C83" s="1" t="s">
        <v>41</v>
      </c>
      <c r="D83" s="1" t="s">
        <v>50</v>
      </c>
      <c r="E83" s="1" t="s">
        <v>51</v>
      </c>
      <c r="F83" s="1" t="s">
        <v>50</v>
      </c>
      <c r="G83" s="1" t="s">
        <v>51</v>
      </c>
      <c r="H83" s="1" t="s">
        <v>54</v>
      </c>
      <c r="I83" s="1" t="s">
        <v>55</v>
      </c>
      <c r="J83" s="1">
        <f t="shared" si="1"/>
        <v>100</v>
      </c>
      <c r="K83" s="3">
        <v>1</v>
      </c>
      <c r="L83" s="4">
        <v>35.119999999999997</v>
      </c>
      <c r="M83" s="5">
        <v>4.8600000000000003</v>
      </c>
      <c r="N83">
        <v>99.69</v>
      </c>
      <c r="O83">
        <v>99.78</v>
      </c>
      <c r="P83" s="6">
        <v>0.99780000000000002</v>
      </c>
      <c r="Q83" s="6">
        <v>0.998</v>
      </c>
      <c r="R83">
        <v>0</v>
      </c>
      <c r="S83">
        <v>0.06</v>
      </c>
      <c r="T83" s="7">
        <v>0</v>
      </c>
      <c r="U83" s="7">
        <v>0</v>
      </c>
      <c r="V83" s="7">
        <v>0</v>
      </c>
      <c r="W83" s="7">
        <v>0</v>
      </c>
      <c r="X83" s="6">
        <v>0.64810000000000001</v>
      </c>
      <c r="Y83" s="6">
        <v>0.32300000000000001</v>
      </c>
      <c r="Z83" s="4">
        <v>-11.27</v>
      </c>
      <c r="AA83" s="4">
        <v>-96.54</v>
      </c>
      <c r="AB83" s="6">
        <v>0.99970000000000003</v>
      </c>
      <c r="AD83" s="3">
        <v>1</v>
      </c>
      <c r="AE83" s="6">
        <v>2.0999999999999999E-3</v>
      </c>
      <c r="AF83" s="6">
        <v>4.4999999999999997E-3</v>
      </c>
      <c r="AG83" s="7">
        <v>0</v>
      </c>
      <c r="AH83" s="7">
        <v>0</v>
      </c>
      <c r="AI83" s="7">
        <v>38</v>
      </c>
      <c r="AJ83" s="3">
        <v>1</v>
      </c>
      <c r="AK83" s="7">
        <v>789501600</v>
      </c>
      <c r="AL83" s="5">
        <v>59.721699999999998</v>
      </c>
      <c r="AM83" s="5">
        <v>270.1001</v>
      </c>
      <c r="AN83" s="5">
        <v>1103.4675</v>
      </c>
    </row>
    <row r="84" spans="1:40" ht="16.5" x14ac:dyDescent="0.45">
      <c r="A84" s="1" t="s">
        <v>69</v>
      </c>
      <c r="B84" s="1" t="s">
        <v>70</v>
      </c>
      <c r="C84" s="1" t="s">
        <v>41</v>
      </c>
      <c r="D84" s="1" t="s">
        <v>50</v>
      </c>
      <c r="E84" s="1" t="s">
        <v>51</v>
      </c>
      <c r="F84" s="1" t="s">
        <v>50</v>
      </c>
      <c r="G84" s="1" t="s">
        <v>51</v>
      </c>
      <c r="H84" s="1" t="s">
        <v>56</v>
      </c>
      <c r="I84" s="1" t="s">
        <v>57</v>
      </c>
      <c r="J84" s="1">
        <f t="shared" si="1"/>
        <v>100</v>
      </c>
      <c r="K84" s="3">
        <v>1</v>
      </c>
      <c r="L84" s="4">
        <v>72.2</v>
      </c>
      <c r="M84" s="5">
        <v>5.1262999999999996</v>
      </c>
      <c r="N84">
        <v>99.82</v>
      </c>
      <c r="O84">
        <v>99.87</v>
      </c>
      <c r="P84" s="6">
        <v>0.99870000000000003</v>
      </c>
      <c r="Q84" s="6">
        <v>0.99880000000000002</v>
      </c>
      <c r="R84">
        <v>0.04</v>
      </c>
      <c r="S84">
        <v>6.9999999999999993E-2</v>
      </c>
      <c r="T84" s="7">
        <v>0</v>
      </c>
      <c r="U84" s="7">
        <v>0</v>
      </c>
      <c r="V84" s="7">
        <v>0</v>
      </c>
      <c r="W84" s="7">
        <v>0</v>
      </c>
      <c r="X84" s="6">
        <v>0.70879999999999999</v>
      </c>
      <c r="Y84" s="6">
        <v>0.4672</v>
      </c>
      <c r="Z84" s="4">
        <v>-11.19</v>
      </c>
      <c r="AA84" s="4">
        <v>-93.3</v>
      </c>
      <c r="AB84" s="6">
        <v>0.99970000000000003</v>
      </c>
      <c r="AD84" s="3">
        <v>1</v>
      </c>
      <c r="AE84" s="6">
        <v>3.5000000000000001E-3</v>
      </c>
      <c r="AF84" s="6">
        <v>1.03E-2</v>
      </c>
      <c r="AG84" s="7">
        <v>0</v>
      </c>
      <c r="AH84" s="7">
        <v>0</v>
      </c>
      <c r="AI84" s="7">
        <v>38</v>
      </c>
      <c r="AJ84" s="3">
        <v>1</v>
      </c>
      <c r="AK84" s="7">
        <v>789501600</v>
      </c>
      <c r="AL84" s="5">
        <v>86.29</v>
      </c>
      <c r="AM84" s="5">
        <v>347.27940000000001</v>
      </c>
      <c r="AN84" s="5">
        <v>1101.836</v>
      </c>
    </row>
    <row r="85" spans="1:40" ht="16.5" x14ac:dyDescent="0.45">
      <c r="A85" s="1" t="s">
        <v>69</v>
      </c>
      <c r="B85" s="1" t="s">
        <v>70</v>
      </c>
      <c r="C85" s="1" t="s">
        <v>41</v>
      </c>
      <c r="D85" s="1" t="s">
        <v>50</v>
      </c>
      <c r="E85" s="1" t="s">
        <v>51</v>
      </c>
      <c r="F85" s="1" t="s">
        <v>50</v>
      </c>
      <c r="G85" s="1" t="s">
        <v>51</v>
      </c>
      <c r="H85" s="1" t="s">
        <v>58</v>
      </c>
      <c r="I85" s="1" t="s">
        <v>59</v>
      </c>
      <c r="J85" s="1">
        <f t="shared" si="1"/>
        <v>100</v>
      </c>
      <c r="K85" s="3">
        <v>1</v>
      </c>
      <c r="L85" s="4">
        <v>42.03</v>
      </c>
      <c r="M85" s="5">
        <v>5.2382</v>
      </c>
      <c r="N85">
        <v>99.850000000000009</v>
      </c>
      <c r="O85">
        <v>99.839999999999989</v>
      </c>
      <c r="P85" s="6">
        <v>0.99839999999999995</v>
      </c>
      <c r="Q85" s="6">
        <v>0.99839999999999995</v>
      </c>
      <c r="R85">
        <v>0</v>
      </c>
      <c r="S85">
        <v>0.05</v>
      </c>
      <c r="T85" s="7">
        <v>1</v>
      </c>
      <c r="U85" s="7">
        <v>0</v>
      </c>
      <c r="V85" s="7">
        <v>0</v>
      </c>
      <c r="W85" s="7">
        <v>0</v>
      </c>
      <c r="X85" s="6">
        <v>0.54810000000000003</v>
      </c>
      <c r="Y85" s="6">
        <v>0.39789999999999998</v>
      </c>
      <c r="Z85" s="4">
        <v>-10.06</v>
      </c>
      <c r="AA85" s="4">
        <v>-99.5</v>
      </c>
      <c r="AB85" s="6">
        <v>0.99970000000000003</v>
      </c>
      <c r="AD85" s="3">
        <v>1</v>
      </c>
      <c r="AE85" s="6">
        <v>1.2999999999999999E-3</v>
      </c>
      <c r="AF85" s="6">
        <v>8.0000000000000004E-4</v>
      </c>
      <c r="AG85" s="7">
        <v>0</v>
      </c>
      <c r="AH85" s="7">
        <v>0</v>
      </c>
      <c r="AI85" s="7">
        <v>28</v>
      </c>
      <c r="AJ85" s="3">
        <v>1</v>
      </c>
      <c r="AK85" s="7">
        <v>789501600</v>
      </c>
      <c r="AL85" s="5">
        <v>60.005000000000003</v>
      </c>
      <c r="AM85" s="5">
        <v>293.19459999999998</v>
      </c>
      <c r="AN85" s="5">
        <v>1178.9023</v>
      </c>
    </row>
    <row r="86" spans="1:40" ht="16.5" x14ac:dyDescent="0.45">
      <c r="A86" s="1" t="s">
        <v>70</v>
      </c>
      <c r="B86" s="1" t="s">
        <v>71</v>
      </c>
      <c r="C86" s="1" t="s">
        <v>41</v>
      </c>
      <c r="D86" s="1" t="s">
        <v>42</v>
      </c>
      <c r="E86" s="1" t="s">
        <v>43</v>
      </c>
      <c r="F86" s="1" t="s">
        <v>42</v>
      </c>
      <c r="G86" s="1" t="s">
        <v>43</v>
      </c>
      <c r="H86" s="1" t="s">
        <v>44</v>
      </c>
      <c r="I86" s="1" t="s">
        <v>45</v>
      </c>
      <c r="J86" s="1">
        <f t="shared" si="1"/>
        <v>100</v>
      </c>
      <c r="K86" s="3">
        <v>1</v>
      </c>
      <c r="L86" s="4">
        <v>40.49</v>
      </c>
      <c r="M86" s="5">
        <v>3.9106000000000001</v>
      </c>
      <c r="N86">
        <v>99.77000000000001</v>
      </c>
      <c r="O86">
        <v>99.570000000000007</v>
      </c>
      <c r="P86" s="6">
        <v>0.99570000000000003</v>
      </c>
      <c r="Q86" s="6">
        <v>0.99570000000000003</v>
      </c>
      <c r="R86">
        <v>0.04</v>
      </c>
      <c r="S86">
        <v>0.13</v>
      </c>
      <c r="T86" s="7">
        <v>0</v>
      </c>
      <c r="U86" s="7">
        <v>0</v>
      </c>
      <c r="V86" s="7">
        <v>0</v>
      </c>
      <c r="W86" s="7">
        <v>0</v>
      </c>
      <c r="X86" s="6">
        <v>0.54120000000000001</v>
      </c>
      <c r="Y86" s="6">
        <v>0.1852</v>
      </c>
      <c r="Z86" s="4">
        <v>-11.34</v>
      </c>
      <c r="AA86" s="4">
        <v>-96.2</v>
      </c>
      <c r="AB86" s="6">
        <v>0.99980000000000002</v>
      </c>
      <c r="AC86" s="7">
        <v>100</v>
      </c>
      <c r="AD86" s="3">
        <v>0.75</v>
      </c>
      <c r="AE86" s="6">
        <v>1.4E-3</v>
      </c>
      <c r="AF86" s="6">
        <v>5.0000000000000001E-4</v>
      </c>
      <c r="AG86" s="7">
        <v>0</v>
      </c>
      <c r="AH86" s="7">
        <v>0</v>
      </c>
      <c r="AI86" s="7">
        <v>60</v>
      </c>
      <c r="AJ86" s="6">
        <v>0.99990000000000001</v>
      </c>
      <c r="AK86" s="7">
        <v>789501600</v>
      </c>
      <c r="AL86" s="5">
        <v>62.396799999999999</v>
      </c>
      <c r="AM86" s="5">
        <v>279.4332</v>
      </c>
      <c r="AN86" s="5">
        <v>831.51610000000005</v>
      </c>
    </row>
    <row r="87" spans="1:40" ht="16.5" x14ac:dyDescent="0.45">
      <c r="A87" s="1" t="s">
        <v>70</v>
      </c>
      <c r="B87" s="1" t="s">
        <v>71</v>
      </c>
      <c r="C87" s="1" t="s">
        <v>41</v>
      </c>
      <c r="D87" s="1" t="s">
        <v>42</v>
      </c>
      <c r="E87" s="1" t="s">
        <v>43</v>
      </c>
      <c r="F87" s="1" t="s">
        <v>42</v>
      </c>
      <c r="G87" s="1" t="s">
        <v>43</v>
      </c>
      <c r="H87" s="1" t="s">
        <v>46</v>
      </c>
      <c r="I87" s="1" t="s">
        <v>47</v>
      </c>
      <c r="J87" s="1">
        <f t="shared" si="1"/>
        <v>100</v>
      </c>
      <c r="K87" s="3">
        <v>1</v>
      </c>
      <c r="L87" s="4">
        <v>31.15</v>
      </c>
      <c r="M87" s="5">
        <v>3.5426000000000002</v>
      </c>
      <c r="N87">
        <v>99.6</v>
      </c>
      <c r="O87">
        <v>99.72</v>
      </c>
      <c r="P87" s="6">
        <v>0.99719999999999998</v>
      </c>
      <c r="Q87" s="6">
        <v>0.99709999999999999</v>
      </c>
      <c r="R87">
        <v>0.05</v>
      </c>
      <c r="S87">
        <v>0.1</v>
      </c>
      <c r="T87" s="7">
        <v>0</v>
      </c>
      <c r="U87" s="7">
        <v>0</v>
      </c>
      <c r="V87" s="7">
        <v>0</v>
      </c>
      <c r="W87" s="7">
        <v>0</v>
      </c>
      <c r="X87" s="6">
        <v>0.39100000000000001</v>
      </c>
      <c r="Y87" s="6">
        <v>0.1363</v>
      </c>
      <c r="Z87" s="4">
        <v>-9.68</v>
      </c>
      <c r="AA87" s="4">
        <v>-97.9</v>
      </c>
      <c r="AB87" s="6">
        <v>0.99980000000000002</v>
      </c>
      <c r="AD87" s="3">
        <v>1</v>
      </c>
      <c r="AE87" s="6">
        <v>1.6999999999999999E-3</v>
      </c>
      <c r="AF87" s="6">
        <v>4.0000000000000002E-4</v>
      </c>
      <c r="AG87" s="7">
        <v>0</v>
      </c>
      <c r="AH87" s="7">
        <v>0</v>
      </c>
      <c r="AI87" s="7">
        <v>66</v>
      </c>
      <c r="AJ87" s="6">
        <v>0.99990000000000001</v>
      </c>
      <c r="AK87" s="7">
        <v>789501600</v>
      </c>
      <c r="AL87" s="5">
        <v>48.478299999999997</v>
      </c>
      <c r="AM87" s="5">
        <v>200.4366</v>
      </c>
      <c r="AN87" s="5">
        <v>799.18299999999999</v>
      </c>
    </row>
    <row r="88" spans="1:40" ht="16.5" x14ac:dyDescent="0.45">
      <c r="A88" s="1" t="s">
        <v>70</v>
      </c>
      <c r="B88" s="1" t="s">
        <v>71</v>
      </c>
      <c r="C88" s="1" t="s">
        <v>41</v>
      </c>
      <c r="D88" s="1" t="s">
        <v>42</v>
      </c>
      <c r="E88" s="1" t="s">
        <v>43</v>
      </c>
      <c r="F88" s="1" t="s">
        <v>42</v>
      </c>
      <c r="G88" s="1" t="s">
        <v>43</v>
      </c>
      <c r="H88" s="1" t="s">
        <v>48</v>
      </c>
      <c r="I88" s="1" t="s">
        <v>49</v>
      </c>
      <c r="J88" s="1">
        <f t="shared" si="1"/>
        <v>100</v>
      </c>
      <c r="K88" s="3">
        <v>1</v>
      </c>
      <c r="L88" s="4">
        <v>29.2</v>
      </c>
      <c r="M88" s="5">
        <v>3.7370000000000001</v>
      </c>
      <c r="N88">
        <v>99.75</v>
      </c>
      <c r="O88">
        <v>99.8</v>
      </c>
      <c r="P88" s="6">
        <v>0.998</v>
      </c>
      <c r="Q88" s="6">
        <v>0.998</v>
      </c>
      <c r="R88">
        <v>0</v>
      </c>
      <c r="S88">
        <v>0.1</v>
      </c>
      <c r="T88" s="7">
        <v>0</v>
      </c>
      <c r="U88" s="7">
        <v>0</v>
      </c>
      <c r="V88" s="7">
        <v>0</v>
      </c>
      <c r="W88" s="7">
        <v>0</v>
      </c>
      <c r="X88" s="6">
        <v>0.57030000000000003</v>
      </c>
      <c r="Y88" s="6">
        <v>0.19139999999999999</v>
      </c>
      <c r="Z88" s="4">
        <v>-9.9600000000000009</v>
      </c>
      <c r="AA88" s="4">
        <v>-97.17</v>
      </c>
      <c r="AB88" s="6">
        <v>0.99929999999999997</v>
      </c>
      <c r="AC88" s="7">
        <v>88</v>
      </c>
      <c r="AD88" s="6">
        <v>0.90480000000000005</v>
      </c>
      <c r="AE88" s="6">
        <v>1.6999999999999999E-3</v>
      </c>
      <c r="AF88" s="6">
        <v>2.9999999999999997E-4</v>
      </c>
      <c r="AG88" s="7">
        <v>0</v>
      </c>
      <c r="AH88" s="7">
        <v>0</v>
      </c>
      <c r="AI88" s="7">
        <v>40</v>
      </c>
      <c r="AJ88" s="6">
        <v>0.99970000000000003</v>
      </c>
      <c r="AK88" s="7">
        <v>789501600</v>
      </c>
      <c r="AL88" s="5">
        <v>46.308399999999999</v>
      </c>
      <c r="AM88" s="5">
        <v>208.7405</v>
      </c>
      <c r="AN88" s="5">
        <v>859.56899999999996</v>
      </c>
    </row>
    <row r="89" spans="1:40" ht="16.5" x14ac:dyDescent="0.45">
      <c r="A89" s="1" t="s">
        <v>70</v>
      </c>
      <c r="B89" s="1" t="s">
        <v>71</v>
      </c>
      <c r="C89" s="1" t="s">
        <v>41</v>
      </c>
      <c r="D89" s="1" t="s">
        <v>50</v>
      </c>
      <c r="E89" s="1" t="s">
        <v>51</v>
      </c>
      <c r="F89" s="1" t="s">
        <v>50</v>
      </c>
      <c r="G89" s="1" t="s">
        <v>51</v>
      </c>
      <c r="H89" s="1" t="s">
        <v>52</v>
      </c>
      <c r="I89" s="1" t="s">
        <v>53</v>
      </c>
      <c r="J89" s="1">
        <f t="shared" si="1"/>
        <v>100</v>
      </c>
      <c r="K89" s="3">
        <v>1</v>
      </c>
      <c r="L89" s="4">
        <v>71.010000000000005</v>
      </c>
      <c r="M89" s="5">
        <v>5.7915999999999999</v>
      </c>
      <c r="N89">
        <v>99.539999999999992</v>
      </c>
      <c r="O89">
        <v>99.82</v>
      </c>
      <c r="P89" s="6">
        <v>0.99809999999999999</v>
      </c>
      <c r="Q89" s="6">
        <v>0.99809999999999999</v>
      </c>
      <c r="R89">
        <v>0.12</v>
      </c>
      <c r="S89">
        <v>0.15</v>
      </c>
      <c r="T89" s="7">
        <v>0</v>
      </c>
      <c r="U89" s="7">
        <v>0</v>
      </c>
      <c r="V89" s="7">
        <v>0</v>
      </c>
      <c r="W89" s="7">
        <v>0</v>
      </c>
      <c r="X89" s="6">
        <v>0.71660000000000001</v>
      </c>
      <c r="Y89" s="6">
        <v>0.53210000000000002</v>
      </c>
      <c r="Z89" s="4">
        <v>-12.45</v>
      </c>
      <c r="AA89" s="4">
        <v>-94.19</v>
      </c>
      <c r="AB89" s="6">
        <v>0.99890000000000001</v>
      </c>
      <c r="AC89" s="7">
        <v>0</v>
      </c>
      <c r="AD89" s="3">
        <v>0.75</v>
      </c>
      <c r="AE89" s="6">
        <v>2E-3</v>
      </c>
      <c r="AF89" s="6">
        <v>2.5000000000000001E-3</v>
      </c>
      <c r="AG89" s="7">
        <v>0</v>
      </c>
      <c r="AH89" s="7">
        <v>0</v>
      </c>
      <c r="AI89" s="7">
        <v>76</v>
      </c>
      <c r="AJ89" s="6">
        <v>0.99990000000000001</v>
      </c>
      <c r="AK89" s="7">
        <v>789501600</v>
      </c>
      <c r="AL89" s="5">
        <v>107.4567</v>
      </c>
      <c r="AM89" s="5">
        <v>410.04340000000002</v>
      </c>
      <c r="AN89" s="5">
        <v>1255.2795000000001</v>
      </c>
    </row>
    <row r="90" spans="1:40" ht="16.5" x14ac:dyDescent="0.45">
      <c r="A90" s="1" t="s">
        <v>70</v>
      </c>
      <c r="B90" s="1" t="s">
        <v>71</v>
      </c>
      <c r="C90" s="1" t="s">
        <v>41</v>
      </c>
      <c r="D90" s="1" t="s">
        <v>50</v>
      </c>
      <c r="E90" s="1" t="s">
        <v>51</v>
      </c>
      <c r="F90" s="1" t="s">
        <v>50</v>
      </c>
      <c r="G90" s="1" t="s">
        <v>51</v>
      </c>
      <c r="H90" s="1" t="s">
        <v>54</v>
      </c>
      <c r="I90" s="1" t="s">
        <v>55</v>
      </c>
      <c r="J90" s="1">
        <f t="shared" si="1"/>
        <v>100</v>
      </c>
      <c r="K90" s="3">
        <v>1</v>
      </c>
      <c r="L90" s="4">
        <v>44.15</v>
      </c>
      <c r="M90" s="5">
        <v>4.1338999999999997</v>
      </c>
      <c r="N90">
        <v>99.660000000000011</v>
      </c>
      <c r="O90">
        <v>99.86</v>
      </c>
      <c r="P90" s="6">
        <v>0.99850000000000005</v>
      </c>
      <c r="Q90" s="6">
        <v>0.99870000000000003</v>
      </c>
      <c r="R90">
        <v>0.04</v>
      </c>
      <c r="S90">
        <v>6.9999999999999993E-2</v>
      </c>
      <c r="T90" s="7">
        <v>0</v>
      </c>
      <c r="U90" s="7">
        <v>0</v>
      </c>
      <c r="V90" s="7">
        <v>0</v>
      </c>
      <c r="W90" s="7">
        <v>0</v>
      </c>
      <c r="X90" s="6">
        <v>0.65590000000000004</v>
      </c>
      <c r="Y90" s="6">
        <v>0.29649999999999999</v>
      </c>
      <c r="Z90" s="4">
        <v>-11.39</v>
      </c>
      <c r="AA90" s="4">
        <v>-96.01</v>
      </c>
      <c r="AB90" s="6">
        <v>0.99980000000000002</v>
      </c>
      <c r="AD90" s="3">
        <v>0.5</v>
      </c>
      <c r="AE90" s="6">
        <v>2.0999999999999999E-3</v>
      </c>
      <c r="AF90" s="6">
        <v>4.1000000000000003E-3</v>
      </c>
      <c r="AG90" s="7">
        <v>0</v>
      </c>
      <c r="AH90" s="7">
        <v>0</v>
      </c>
      <c r="AI90" s="7">
        <v>44</v>
      </c>
      <c r="AJ90" s="3">
        <v>1</v>
      </c>
      <c r="AK90" s="7">
        <v>789501600</v>
      </c>
      <c r="AL90" s="5">
        <v>61.241799999999998</v>
      </c>
      <c r="AM90" s="5">
        <v>266.44099999999997</v>
      </c>
      <c r="AN90" s="5">
        <v>905.98339999999996</v>
      </c>
    </row>
    <row r="91" spans="1:40" ht="16.5" x14ac:dyDescent="0.45">
      <c r="A91" s="1" t="s">
        <v>70</v>
      </c>
      <c r="B91" s="1" t="s">
        <v>71</v>
      </c>
      <c r="C91" s="1" t="s">
        <v>41</v>
      </c>
      <c r="D91" s="1" t="s">
        <v>50</v>
      </c>
      <c r="E91" s="1" t="s">
        <v>51</v>
      </c>
      <c r="F91" s="1" t="s">
        <v>50</v>
      </c>
      <c r="G91" s="1" t="s">
        <v>51</v>
      </c>
      <c r="H91" s="1" t="s">
        <v>56</v>
      </c>
      <c r="I91" s="1" t="s">
        <v>57</v>
      </c>
      <c r="J91" s="1">
        <f t="shared" si="1"/>
        <v>100</v>
      </c>
      <c r="K91" s="3">
        <v>1</v>
      </c>
      <c r="L91" s="4">
        <v>65.11</v>
      </c>
      <c r="M91" s="5">
        <v>5.3319999999999999</v>
      </c>
      <c r="N91">
        <v>99.81</v>
      </c>
      <c r="O91">
        <v>99.83</v>
      </c>
      <c r="P91" s="6">
        <v>0.99829999999999997</v>
      </c>
      <c r="Q91" s="6">
        <v>0.99829999999999997</v>
      </c>
      <c r="R91">
        <v>0.04</v>
      </c>
      <c r="S91">
        <v>0.06</v>
      </c>
      <c r="T91" s="7">
        <v>0</v>
      </c>
      <c r="U91" s="7">
        <v>0</v>
      </c>
      <c r="V91" s="7">
        <v>0</v>
      </c>
      <c r="W91" s="7">
        <v>0</v>
      </c>
      <c r="X91" s="6">
        <v>0.75580000000000003</v>
      </c>
      <c r="Y91" s="6">
        <v>0.45069999999999999</v>
      </c>
      <c r="Z91" s="4">
        <v>-11.35</v>
      </c>
      <c r="AA91" s="4">
        <v>-93.01</v>
      </c>
      <c r="AB91" s="6">
        <v>0.99970000000000003</v>
      </c>
      <c r="AD91" s="3">
        <v>0.9</v>
      </c>
      <c r="AE91" s="6">
        <v>3.5999999999999999E-3</v>
      </c>
      <c r="AF91" s="6">
        <v>9.7999999999999997E-3</v>
      </c>
      <c r="AG91" s="7">
        <v>0</v>
      </c>
      <c r="AH91" s="7">
        <v>0</v>
      </c>
      <c r="AI91" s="7">
        <v>30</v>
      </c>
      <c r="AJ91" s="3">
        <v>1</v>
      </c>
      <c r="AK91" s="7">
        <v>789501600</v>
      </c>
      <c r="AL91" s="5">
        <v>81.474999999999994</v>
      </c>
      <c r="AM91" s="5">
        <v>324.27789999999999</v>
      </c>
      <c r="AN91" s="5">
        <v>1178.5272</v>
      </c>
    </row>
    <row r="92" spans="1:40" ht="16.5" x14ac:dyDescent="0.45">
      <c r="A92" s="1" t="s">
        <v>70</v>
      </c>
      <c r="B92" s="1" t="s">
        <v>71</v>
      </c>
      <c r="C92" s="1" t="s">
        <v>41</v>
      </c>
      <c r="D92" s="1" t="s">
        <v>50</v>
      </c>
      <c r="E92" s="1" t="s">
        <v>51</v>
      </c>
      <c r="F92" s="1" t="s">
        <v>50</v>
      </c>
      <c r="G92" s="1" t="s">
        <v>51</v>
      </c>
      <c r="H92" s="1" t="s">
        <v>58</v>
      </c>
      <c r="I92" s="1" t="s">
        <v>59</v>
      </c>
      <c r="J92" s="1">
        <f t="shared" si="1"/>
        <v>100</v>
      </c>
      <c r="K92" s="3">
        <v>1</v>
      </c>
      <c r="L92" s="4">
        <v>46.27</v>
      </c>
      <c r="M92" s="5">
        <v>6.2140000000000004</v>
      </c>
      <c r="N92">
        <v>99.79</v>
      </c>
      <c r="O92">
        <v>99.87</v>
      </c>
      <c r="P92" s="6">
        <v>0.99870000000000003</v>
      </c>
      <c r="Q92" s="6">
        <v>0.99870000000000003</v>
      </c>
      <c r="R92">
        <v>0</v>
      </c>
      <c r="S92">
        <v>0.05</v>
      </c>
      <c r="T92" s="7">
        <v>0</v>
      </c>
      <c r="U92" s="7">
        <v>0</v>
      </c>
      <c r="V92" s="7">
        <v>0</v>
      </c>
      <c r="W92" s="7">
        <v>0</v>
      </c>
      <c r="X92" s="6">
        <v>0.64129999999999998</v>
      </c>
      <c r="Y92" s="6">
        <v>0.39129999999999998</v>
      </c>
      <c r="Z92" s="4">
        <v>-10.65</v>
      </c>
      <c r="AA92" s="4">
        <v>-98.35</v>
      </c>
      <c r="AB92" s="6">
        <v>0.99939999999999996</v>
      </c>
      <c r="AC92" s="7">
        <v>100</v>
      </c>
      <c r="AD92" s="3">
        <v>1</v>
      </c>
      <c r="AE92" s="6">
        <v>1.5E-3</v>
      </c>
      <c r="AF92" s="6">
        <v>5.0000000000000001E-4</v>
      </c>
      <c r="AG92" s="7">
        <v>0</v>
      </c>
      <c r="AH92" s="7">
        <v>0</v>
      </c>
      <c r="AI92" s="7">
        <v>36</v>
      </c>
      <c r="AJ92" s="3">
        <v>1</v>
      </c>
      <c r="AK92" s="7">
        <v>789501600</v>
      </c>
      <c r="AL92" s="5">
        <v>64.663300000000007</v>
      </c>
      <c r="AM92" s="5">
        <v>444.47219999999999</v>
      </c>
      <c r="AN92" s="5">
        <v>1287.7872</v>
      </c>
    </row>
    <row r="93" spans="1:40" ht="16.5" x14ac:dyDescent="0.45">
      <c r="A93" s="1" t="s">
        <v>71</v>
      </c>
      <c r="B93" s="1" t="s">
        <v>72</v>
      </c>
      <c r="C93" s="1" t="s">
        <v>41</v>
      </c>
      <c r="D93" s="1" t="s">
        <v>42</v>
      </c>
      <c r="E93" s="1" t="s">
        <v>43</v>
      </c>
      <c r="F93" s="1" t="s">
        <v>42</v>
      </c>
      <c r="G93" s="1" t="s">
        <v>43</v>
      </c>
      <c r="H93" s="1" t="s">
        <v>44</v>
      </c>
      <c r="I93" s="1" t="s">
        <v>45</v>
      </c>
      <c r="J93" s="1">
        <f t="shared" si="1"/>
        <v>100</v>
      </c>
      <c r="K93" s="3">
        <v>1</v>
      </c>
      <c r="L93" s="4">
        <v>41.84</v>
      </c>
      <c r="M93" s="5">
        <v>4.5778999999999996</v>
      </c>
      <c r="N93">
        <v>99.62</v>
      </c>
      <c r="O93">
        <v>99.75</v>
      </c>
      <c r="P93" s="6">
        <v>0.99750000000000005</v>
      </c>
      <c r="Q93" s="6">
        <v>0.99770000000000003</v>
      </c>
      <c r="R93">
        <v>0.13999999999999999</v>
      </c>
      <c r="S93">
        <v>0.1</v>
      </c>
      <c r="T93" s="7">
        <v>0</v>
      </c>
      <c r="U93" s="7">
        <v>0</v>
      </c>
      <c r="V93" s="7">
        <v>0</v>
      </c>
      <c r="W93" s="7">
        <v>0</v>
      </c>
      <c r="X93" s="6">
        <v>0.54990000000000006</v>
      </c>
      <c r="Y93" s="6">
        <v>0.1867</v>
      </c>
      <c r="Z93" s="4">
        <v>-11.3</v>
      </c>
      <c r="AA93" s="4">
        <v>-96.19</v>
      </c>
      <c r="AB93" s="6">
        <v>0.99950000000000006</v>
      </c>
      <c r="AC93" s="7">
        <v>100</v>
      </c>
      <c r="AD93" s="6">
        <v>0.875</v>
      </c>
      <c r="AE93" s="6">
        <v>1.4E-3</v>
      </c>
      <c r="AF93" s="6">
        <v>2.0000000000000001E-4</v>
      </c>
      <c r="AG93" s="7">
        <v>0</v>
      </c>
      <c r="AH93" s="7">
        <v>0</v>
      </c>
      <c r="AI93" s="7">
        <v>72</v>
      </c>
      <c r="AJ93" s="6">
        <v>0.99990000000000001</v>
      </c>
      <c r="AK93" s="7">
        <v>789501600</v>
      </c>
      <c r="AL93" s="5">
        <v>59.93</v>
      </c>
      <c r="AM93" s="5">
        <v>304.0258</v>
      </c>
      <c r="AN93" s="5">
        <v>993.17619999999999</v>
      </c>
    </row>
    <row r="94" spans="1:40" ht="16.5" x14ac:dyDescent="0.45">
      <c r="A94" s="1" t="s">
        <v>71</v>
      </c>
      <c r="B94" s="1" t="s">
        <v>72</v>
      </c>
      <c r="C94" s="1" t="s">
        <v>41</v>
      </c>
      <c r="D94" s="1" t="s">
        <v>42</v>
      </c>
      <c r="E94" s="1" t="s">
        <v>43</v>
      </c>
      <c r="F94" s="1" t="s">
        <v>42</v>
      </c>
      <c r="G94" s="1" t="s">
        <v>43</v>
      </c>
      <c r="H94" s="1" t="s">
        <v>46</v>
      </c>
      <c r="I94" s="1" t="s">
        <v>47</v>
      </c>
      <c r="J94" s="1">
        <f t="shared" si="1"/>
        <v>100</v>
      </c>
      <c r="K94" s="3">
        <v>1</v>
      </c>
      <c r="L94" s="4">
        <v>31.99</v>
      </c>
      <c r="M94" s="5">
        <v>3.9784000000000002</v>
      </c>
      <c r="N94">
        <v>99.58</v>
      </c>
      <c r="O94">
        <v>99.7</v>
      </c>
      <c r="P94" s="6">
        <v>0.99680000000000002</v>
      </c>
      <c r="Q94" s="6">
        <v>0.99680000000000002</v>
      </c>
      <c r="R94">
        <v>0.12</v>
      </c>
      <c r="S94">
        <v>0.11</v>
      </c>
      <c r="T94" s="7">
        <v>0</v>
      </c>
      <c r="U94" s="7">
        <v>0</v>
      </c>
      <c r="V94" s="7">
        <v>0</v>
      </c>
      <c r="W94" s="7">
        <v>0</v>
      </c>
      <c r="X94" s="6">
        <v>0.4335</v>
      </c>
      <c r="Y94" s="6">
        <v>0.14030000000000001</v>
      </c>
      <c r="Z94" s="4">
        <v>-9.91</v>
      </c>
      <c r="AA94" s="4">
        <v>-97.98</v>
      </c>
      <c r="AB94" s="6">
        <v>0.99970000000000003</v>
      </c>
      <c r="AD94" s="3">
        <v>1</v>
      </c>
      <c r="AE94" s="6">
        <v>1.6000000000000001E-3</v>
      </c>
      <c r="AF94" s="6">
        <v>5.9999999999999995E-4</v>
      </c>
      <c r="AG94" s="7">
        <v>0</v>
      </c>
      <c r="AH94" s="7">
        <v>0</v>
      </c>
      <c r="AI94" s="7">
        <v>56</v>
      </c>
      <c r="AJ94" s="6">
        <v>0.99990000000000001</v>
      </c>
      <c r="AK94" s="7">
        <v>789501600</v>
      </c>
      <c r="AL94" s="5">
        <v>46.611800000000002</v>
      </c>
      <c r="AM94" s="5">
        <v>235.31819999999999</v>
      </c>
      <c r="AN94" s="5">
        <v>875.40350000000001</v>
      </c>
    </row>
    <row r="95" spans="1:40" ht="16.5" x14ac:dyDescent="0.45">
      <c r="A95" s="1" t="s">
        <v>71</v>
      </c>
      <c r="B95" s="1" t="s">
        <v>72</v>
      </c>
      <c r="C95" s="1" t="s">
        <v>41</v>
      </c>
      <c r="D95" s="1" t="s">
        <v>42</v>
      </c>
      <c r="E95" s="1" t="s">
        <v>43</v>
      </c>
      <c r="F95" s="1" t="s">
        <v>42</v>
      </c>
      <c r="G95" s="1" t="s">
        <v>43</v>
      </c>
      <c r="H95" s="1" t="s">
        <v>48</v>
      </c>
      <c r="I95" s="1" t="s">
        <v>49</v>
      </c>
      <c r="J95" s="1">
        <f t="shared" si="1"/>
        <v>100</v>
      </c>
      <c r="K95" s="3">
        <v>1</v>
      </c>
      <c r="L95" s="4">
        <v>29.36</v>
      </c>
      <c r="M95" s="5">
        <v>4.1509</v>
      </c>
      <c r="N95">
        <v>99.7</v>
      </c>
      <c r="O95">
        <v>99.75</v>
      </c>
      <c r="P95" s="6">
        <v>0.99750000000000005</v>
      </c>
      <c r="Q95" s="6">
        <v>0.99770000000000003</v>
      </c>
      <c r="R95">
        <v>6.9999999999999993E-2</v>
      </c>
      <c r="S95">
        <v>0.11</v>
      </c>
      <c r="T95" s="7">
        <v>0</v>
      </c>
      <c r="U95" s="7">
        <v>0</v>
      </c>
      <c r="V95" s="7">
        <v>0</v>
      </c>
      <c r="W95" s="7">
        <v>0</v>
      </c>
      <c r="X95" s="6">
        <v>0.60089999999999999</v>
      </c>
      <c r="Y95" s="6">
        <v>0.18729999999999999</v>
      </c>
      <c r="Z95" s="4">
        <v>-10.24</v>
      </c>
      <c r="AA95" s="4">
        <v>-97.23</v>
      </c>
      <c r="AB95" s="6">
        <v>0.99960000000000004</v>
      </c>
      <c r="AC95" s="4">
        <v>88.46</v>
      </c>
      <c r="AD95" s="6">
        <v>0.97670000000000001</v>
      </c>
      <c r="AE95" s="6">
        <v>1.5E-3</v>
      </c>
      <c r="AF95" s="6">
        <v>2.0000000000000001E-4</v>
      </c>
      <c r="AG95" s="7">
        <v>0</v>
      </c>
      <c r="AH95" s="7">
        <v>0</v>
      </c>
      <c r="AI95" s="7">
        <v>34</v>
      </c>
      <c r="AJ95" s="6">
        <v>0.99970000000000003</v>
      </c>
      <c r="AK95" s="7">
        <v>789501600</v>
      </c>
      <c r="AL95" s="5">
        <v>46.22</v>
      </c>
      <c r="AM95" s="5">
        <v>201.3871</v>
      </c>
      <c r="AN95" s="5">
        <v>966.43439999999998</v>
      </c>
    </row>
    <row r="96" spans="1:40" ht="16.5" x14ac:dyDescent="0.45">
      <c r="A96" s="1" t="s">
        <v>71</v>
      </c>
      <c r="B96" s="1" t="s">
        <v>72</v>
      </c>
      <c r="C96" s="1" t="s">
        <v>41</v>
      </c>
      <c r="D96" s="1" t="s">
        <v>50</v>
      </c>
      <c r="E96" s="1" t="s">
        <v>51</v>
      </c>
      <c r="F96" s="1" t="s">
        <v>50</v>
      </c>
      <c r="G96" s="1" t="s">
        <v>51</v>
      </c>
      <c r="H96" s="1" t="s">
        <v>52</v>
      </c>
      <c r="I96" s="1" t="s">
        <v>53</v>
      </c>
      <c r="J96" s="1">
        <f t="shared" si="1"/>
        <v>100</v>
      </c>
      <c r="K96" s="3">
        <v>1</v>
      </c>
      <c r="L96" s="4">
        <v>75.05</v>
      </c>
      <c r="M96" s="5">
        <v>6.0044000000000004</v>
      </c>
      <c r="N96">
        <v>99.570000000000007</v>
      </c>
      <c r="O96">
        <v>99.82</v>
      </c>
      <c r="P96" s="6">
        <v>0.99819999999999998</v>
      </c>
      <c r="Q96" s="6">
        <v>0.99819999999999998</v>
      </c>
      <c r="R96">
        <v>0.05</v>
      </c>
      <c r="S96">
        <v>0.12</v>
      </c>
      <c r="T96" s="7">
        <v>0</v>
      </c>
      <c r="U96" s="7">
        <v>0</v>
      </c>
      <c r="V96" s="7">
        <v>0</v>
      </c>
      <c r="W96" s="7">
        <v>0</v>
      </c>
      <c r="X96" s="6">
        <v>0.69630000000000003</v>
      </c>
      <c r="Y96" s="6">
        <v>0.60350000000000004</v>
      </c>
      <c r="Z96" s="4">
        <v>-12.14</v>
      </c>
      <c r="AA96" s="4">
        <v>-93.7</v>
      </c>
      <c r="AB96" s="6">
        <v>0.99950000000000006</v>
      </c>
      <c r="AC96" s="7">
        <v>100</v>
      </c>
      <c r="AD96" s="3">
        <v>1</v>
      </c>
      <c r="AE96" s="6">
        <v>2.8E-3</v>
      </c>
      <c r="AF96" s="6">
        <v>3.8999999999999998E-3</v>
      </c>
      <c r="AG96" s="7">
        <v>0</v>
      </c>
      <c r="AH96" s="7">
        <v>0</v>
      </c>
      <c r="AI96" s="7">
        <v>102</v>
      </c>
      <c r="AJ96" s="6">
        <v>0.99990000000000001</v>
      </c>
      <c r="AK96" s="7">
        <v>789501600</v>
      </c>
      <c r="AL96" s="5">
        <v>114.18</v>
      </c>
      <c r="AM96" s="5">
        <v>413.4855</v>
      </c>
      <c r="AN96" s="5">
        <v>1309.5742</v>
      </c>
    </row>
    <row r="97" spans="1:40" ht="16.5" x14ac:dyDescent="0.45">
      <c r="A97" s="1" t="s">
        <v>71</v>
      </c>
      <c r="B97" s="1" t="s">
        <v>72</v>
      </c>
      <c r="C97" s="1" t="s">
        <v>41</v>
      </c>
      <c r="D97" s="1" t="s">
        <v>50</v>
      </c>
      <c r="E97" s="1" t="s">
        <v>51</v>
      </c>
      <c r="F97" s="1" t="s">
        <v>50</v>
      </c>
      <c r="G97" s="1" t="s">
        <v>51</v>
      </c>
      <c r="H97" s="1" t="s">
        <v>54</v>
      </c>
      <c r="I97" s="1" t="s">
        <v>55</v>
      </c>
      <c r="J97" s="1">
        <f t="shared" si="1"/>
        <v>100</v>
      </c>
      <c r="K97" s="3">
        <v>1</v>
      </c>
      <c r="L97" s="4">
        <v>41.54</v>
      </c>
      <c r="M97" s="5">
        <v>4.9032</v>
      </c>
      <c r="N97">
        <v>99.460000000000008</v>
      </c>
      <c r="O97">
        <v>99.83</v>
      </c>
      <c r="P97" s="6">
        <v>0.99829999999999997</v>
      </c>
      <c r="Q97" s="6">
        <v>0.99870000000000003</v>
      </c>
      <c r="R97">
        <v>0.1</v>
      </c>
      <c r="S97">
        <v>6.9999999999999993E-2</v>
      </c>
      <c r="T97" s="7">
        <v>0</v>
      </c>
      <c r="U97" s="7">
        <v>0</v>
      </c>
      <c r="V97" s="7">
        <v>0</v>
      </c>
      <c r="W97" s="7">
        <v>0</v>
      </c>
      <c r="X97" s="6">
        <v>0.70860000000000001</v>
      </c>
      <c r="Y97" s="6">
        <v>0.33800000000000002</v>
      </c>
      <c r="Z97" s="4">
        <v>-11.43</v>
      </c>
      <c r="AA97" s="4">
        <v>-95.45</v>
      </c>
      <c r="AB97" s="6">
        <v>0.99960000000000004</v>
      </c>
      <c r="AD97" s="3">
        <v>1</v>
      </c>
      <c r="AE97" s="6">
        <v>2.5999999999999999E-3</v>
      </c>
      <c r="AF97" s="6">
        <v>8.3000000000000001E-3</v>
      </c>
      <c r="AG97" s="7">
        <v>0</v>
      </c>
      <c r="AH97" s="7">
        <v>0</v>
      </c>
      <c r="AI97" s="7">
        <v>36</v>
      </c>
      <c r="AJ97" s="3">
        <v>1</v>
      </c>
      <c r="AK97" s="7">
        <v>789501600</v>
      </c>
      <c r="AL97" s="5">
        <v>63.506700000000002</v>
      </c>
      <c r="AM97" s="5">
        <v>287.43950000000001</v>
      </c>
      <c r="AN97" s="5">
        <v>1103.6256000000001</v>
      </c>
    </row>
    <row r="98" spans="1:40" ht="16.5" x14ac:dyDescent="0.45">
      <c r="A98" s="1" t="s">
        <v>71</v>
      </c>
      <c r="B98" s="1" t="s">
        <v>72</v>
      </c>
      <c r="C98" s="1" t="s">
        <v>41</v>
      </c>
      <c r="D98" s="1" t="s">
        <v>50</v>
      </c>
      <c r="E98" s="1" t="s">
        <v>51</v>
      </c>
      <c r="F98" s="1" t="s">
        <v>50</v>
      </c>
      <c r="G98" s="1" t="s">
        <v>51</v>
      </c>
      <c r="H98" s="1" t="s">
        <v>56</v>
      </c>
      <c r="I98" s="1" t="s">
        <v>57</v>
      </c>
      <c r="J98" s="1">
        <f t="shared" si="1"/>
        <v>100</v>
      </c>
      <c r="K98" s="3">
        <v>1</v>
      </c>
      <c r="L98" s="4">
        <v>51.77</v>
      </c>
      <c r="M98" s="5">
        <v>6.1860999999999997</v>
      </c>
      <c r="N98">
        <v>99.89</v>
      </c>
      <c r="O98">
        <v>99.82</v>
      </c>
      <c r="P98" s="6">
        <v>0.99819999999999998</v>
      </c>
      <c r="Q98" s="6">
        <v>0.99829999999999997</v>
      </c>
      <c r="R98">
        <v>0.11</v>
      </c>
      <c r="S98">
        <v>0.06</v>
      </c>
      <c r="T98" s="7">
        <v>0</v>
      </c>
      <c r="U98" s="7">
        <v>0</v>
      </c>
      <c r="V98" s="7">
        <v>0</v>
      </c>
      <c r="W98" s="7">
        <v>0</v>
      </c>
      <c r="X98" s="6">
        <v>0.77159999999999995</v>
      </c>
      <c r="Y98" s="6">
        <v>0.44369999999999998</v>
      </c>
      <c r="Z98" s="4">
        <v>-11.46</v>
      </c>
      <c r="AA98" s="4">
        <v>-92.88</v>
      </c>
      <c r="AB98" s="6">
        <v>0.99980000000000002</v>
      </c>
      <c r="AD98" s="6">
        <v>0.94740000000000002</v>
      </c>
      <c r="AE98" s="6">
        <v>3.5999999999999999E-3</v>
      </c>
      <c r="AF98" s="6">
        <v>1.18E-2</v>
      </c>
      <c r="AG98" s="7">
        <v>0</v>
      </c>
      <c r="AH98" s="7">
        <v>0</v>
      </c>
      <c r="AI98" s="7">
        <v>38</v>
      </c>
      <c r="AJ98" s="3">
        <v>1</v>
      </c>
      <c r="AK98" s="7">
        <v>789501600</v>
      </c>
      <c r="AL98" s="5">
        <v>76.061700000000002</v>
      </c>
      <c r="AM98" s="5">
        <v>373.46469999999999</v>
      </c>
      <c r="AN98" s="5">
        <v>1372.5824</v>
      </c>
    </row>
    <row r="99" spans="1:40" ht="16.5" x14ac:dyDescent="0.45">
      <c r="A99" s="1" t="s">
        <v>71</v>
      </c>
      <c r="B99" s="1" t="s">
        <v>72</v>
      </c>
      <c r="C99" s="1" t="s">
        <v>41</v>
      </c>
      <c r="D99" s="1" t="s">
        <v>50</v>
      </c>
      <c r="E99" s="1" t="s">
        <v>51</v>
      </c>
      <c r="F99" s="1" t="s">
        <v>50</v>
      </c>
      <c r="G99" s="1" t="s">
        <v>51</v>
      </c>
      <c r="H99" s="1" t="s">
        <v>58</v>
      </c>
      <c r="I99" s="1" t="s">
        <v>59</v>
      </c>
      <c r="J99" s="1">
        <f t="shared" si="1"/>
        <v>100</v>
      </c>
      <c r="K99" s="3">
        <v>1</v>
      </c>
      <c r="L99" s="4">
        <v>47.96</v>
      </c>
      <c r="M99" s="5">
        <v>6.4264000000000001</v>
      </c>
      <c r="N99">
        <v>99.76</v>
      </c>
      <c r="O99">
        <v>99.83</v>
      </c>
      <c r="P99" s="6">
        <v>0.99829999999999997</v>
      </c>
      <c r="Q99" s="6">
        <v>0.99829999999999997</v>
      </c>
      <c r="R99">
        <v>0</v>
      </c>
      <c r="S99">
        <v>0.05</v>
      </c>
      <c r="T99" s="7">
        <v>0</v>
      </c>
      <c r="U99" s="7">
        <v>0</v>
      </c>
      <c r="V99" s="7">
        <v>0</v>
      </c>
      <c r="W99" s="7">
        <v>0</v>
      </c>
      <c r="X99" s="6">
        <v>0.65880000000000005</v>
      </c>
      <c r="Y99" s="6">
        <v>0.43190000000000001</v>
      </c>
      <c r="Z99" s="4">
        <v>-10.74</v>
      </c>
      <c r="AA99" s="4">
        <v>-97.92</v>
      </c>
      <c r="AB99" s="6">
        <v>0.99939999999999996</v>
      </c>
      <c r="AD99" s="6">
        <v>0.81820000000000004</v>
      </c>
      <c r="AE99" s="6">
        <v>1.6000000000000001E-3</v>
      </c>
      <c r="AF99" s="6">
        <v>5.9999999999999995E-4</v>
      </c>
      <c r="AG99" s="7">
        <v>0</v>
      </c>
      <c r="AH99" s="7">
        <v>0</v>
      </c>
      <c r="AI99" s="7">
        <v>37</v>
      </c>
      <c r="AJ99" s="3">
        <v>1</v>
      </c>
      <c r="AK99" s="7">
        <v>789501600</v>
      </c>
      <c r="AL99" s="5">
        <v>71.349999999999994</v>
      </c>
      <c r="AM99" s="5">
        <v>457.4932</v>
      </c>
      <c r="AN99" s="5">
        <v>1337.8258000000001</v>
      </c>
    </row>
    <row r="100" spans="1:40" ht="16.5" x14ac:dyDescent="0.45">
      <c r="A100" s="1" t="s">
        <v>72</v>
      </c>
      <c r="B100" s="1" t="s">
        <v>73</v>
      </c>
      <c r="C100" s="1" t="s">
        <v>41</v>
      </c>
      <c r="D100" s="1" t="s">
        <v>42</v>
      </c>
      <c r="E100" s="1" t="s">
        <v>43</v>
      </c>
      <c r="F100" s="1" t="s">
        <v>42</v>
      </c>
      <c r="G100" s="1" t="s">
        <v>43</v>
      </c>
      <c r="H100" s="1" t="s">
        <v>44</v>
      </c>
      <c r="I100" s="1" t="s">
        <v>45</v>
      </c>
      <c r="J100" s="1">
        <f t="shared" si="1"/>
        <v>100</v>
      </c>
      <c r="K100" s="3">
        <v>1</v>
      </c>
      <c r="L100" s="7">
        <v>35</v>
      </c>
      <c r="M100" s="5">
        <v>4.5080999999999998</v>
      </c>
      <c r="N100">
        <v>99.76</v>
      </c>
      <c r="O100">
        <v>99.78</v>
      </c>
      <c r="P100" s="6">
        <v>0.99790000000000001</v>
      </c>
      <c r="Q100" s="6">
        <v>0.99790000000000001</v>
      </c>
      <c r="R100">
        <v>0.12</v>
      </c>
      <c r="S100">
        <v>0.09</v>
      </c>
      <c r="T100" s="7">
        <v>0</v>
      </c>
      <c r="U100" s="7">
        <v>0</v>
      </c>
      <c r="V100" s="7">
        <v>0</v>
      </c>
      <c r="W100" s="7">
        <v>0</v>
      </c>
      <c r="X100" s="6">
        <v>0.52959999999999996</v>
      </c>
      <c r="Y100" s="6">
        <v>0.1699</v>
      </c>
      <c r="Z100" s="4">
        <v>-10.99</v>
      </c>
      <c r="AA100" s="4">
        <v>-97.14</v>
      </c>
      <c r="AB100" s="6">
        <v>0.99939999999999996</v>
      </c>
      <c r="AC100" s="7">
        <v>100</v>
      </c>
      <c r="AD100" s="3">
        <v>1</v>
      </c>
      <c r="AE100" s="6">
        <v>1.1999999999999999E-3</v>
      </c>
      <c r="AF100" s="6">
        <v>2.9999999999999997E-4</v>
      </c>
      <c r="AG100" s="7">
        <v>0</v>
      </c>
      <c r="AH100" s="7">
        <v>0</v>
      </c>
      <c r="AI100" s="7">
        <v>40</v>
      </c>
      <c r="AJ100" s="6">
        <v>0.99990000000000001</v>
      </c>
      <c r="AK100" s="7">
        <v>789501600</v>
      </c>
      <c r="AL100" s="5">
        <v>53.7517</v>
      </c>
      <c r="AM100" s="5">
        <v>267.9033</v>
      </c>
      <c r="AN100" s="5">
        <v>1013.3202</v>
      </c>
    </row>
    <row r="101" spans="1:40" ht="16.5" x14ac:dyDescent="0.45">
      <c r="A101" s="1" t="s">
        <v>72</v>
      </c>
      <c r="B101" s="1" t="s">
        <v>73</v>
      </c>
      <c r="C101" s="1" t="s">
        <v>41</v>
      </c>
      <c r="D101" s="1" t="s">
        <v>42</v>
      </c>
      <c r="E101" s="1" t="s">
        <v>43</v>
      </c>
      <c r="F101" s="1" t="s">
        <v>42</v>
      </c>
      <c r="G101" s="1" t="s">
        <v>43</v>
      </c>
      <c r="H101" s="1" t="s">
        <v>46</v>
      </c>
      <c r="I101" s="1" t="s">
        <v>47</v>
      </c>
      <c r="J101" s="1">
        <f t="shared" si="1"/>
        <v>100</v>
      </c>
      <c r="K101" s="3">
        <v>1</v>
      </c>
      <c r="L101" s="4">
        <v>30.28</v>
      </c>
      <c r="M101" s="5">
        <v>4.0327000000000002</v>
      </c>
      <c r="N101">
        <v>99.79</v>
      </c>
      <c r="O101">
        <v>99.8</v>
      </c>
      <c r="P101" s="6">
        <v>0.998</v>
      </c>
      <c r="Q101" s="6">
        <v>0.99790000000000001</v>
      </c>
      <c r="R101">
        <v>0.21</v>
      </c>
      <c r="S101">
        <v>0.1</v>
      </c>
      <c r="T101" s="7">
        <v>0</v>
      </c>
      <c r="U101" s="7">
        <v>0</v>
      </c>
      <c r="V101" s="7">
        <v>0</v>
      </c>
      <c r="W101" s="7">
        <v>0</v>
      </c>
      <c r="X101" s="6">
        <v>0.42449999999999999</v>
      </c>
      <c r="Y101" s="6">
        <v>0.12759999999999999</v>
      </c>
      <c r="Z101" s="4">
        <v>-9.94</v>
      </c>
      <c r="AA101" s="4">
        <v>-98.2</v>
      </c>
      <c r="AB101" s="6">
        <v>0.99960000000000004</v>
      </c>
      <c r="AD101" s="3">
        <v>1</v>
      </c>
      <c r="AE101" s="6">
        <v>1.4E-3</v>
      </c>
      <c r="AF101" s="6">
        <v>5.9999999999999995E-4</v>
      </c>
      <c r="AG101" s="7">
        <v>0</v>
      </c>
      <c r="AH101" s="7">
        <v>0</v>
      </c>
      <c r="AI101" s="7">
        <v>51</v>
      </c>
      <c r="AJ101" s="3">
        <v>1</v>
      </c>
      <c r="AK101" s="7">
        <v>789501600</v>
      </c>
      <c r="AL101" s="5">
        <v>41.2883</v>
      </c>
      <c r="AM101" s="5">
        <v>219.2071</v>
      </c>
      <c r="AN101" s="5">
        <v>906.57320000000004</v>
      </c>
    </row>
    <row r="102" spans="1:40" ht="16.5" x14ac:dyDescent="0.45">
      <c r="A102" s="1" t="s">
        <v>72</v>
      </c>
      <c r="B102" s="1" t="s">
        <v>73</v>
      </c>
      <c r="C102" s="1" t="s">
        <v>41</v>
      </c>
      <c r="D102" s="1" t="s">
        <v>42</v>
      </c>
      <c r="E102" s="1" t="s">
        <v>43</v>
      </c>
      <c r="F102" s="1" t="s">
        <v>42</v>
      </c>
      <c r="G102" s="1" t="s">
        <v>43</v>
      </c>
      <c r="H102" s="1" t="s">
        <v>48</v>
      </c>
      <c r="I102" s="1" t="s">
        <v>49</v>
      </c>
      <c r="J102" s="1">
        <f t="shared" si="1"/>
        <v>100</v>
      </c>
      <c r="K102" s="3">
        <v>1</v>
      </c>
      <c r="L102" s="4">
        <v>25.88</v>
      </c>
      <c r="M102" s="5">
        <v>5.2565</v>
      </c>
      <c r="N102">
        <v>99.570000000000007</v>
      </c>
      <c r="O102">
        <v>99.82</v>
      </c>
      <c r="P102" s="6">
        <v>0.99809999999999999</v>
      </c>
      <c r="Q102" s="6">
        <v>0.99809999999999999</v>
      </c>
      <c r="R102">
        <v>0.16999999999999998</v>
      </c>
      <c r="S102">
        <v>0.09</v>
      </c>
      <c r="T102" s="7">
        <v>0</v>
      </c>
      <c r="U102" s="7">
        <v>0</v>
      </c>
      <c r="V102" s="7">
        <v>0</v>
      </c>
      <c r="W102" s="7">
        <v>0</v>
      </c>
      <c r="X102" s="6">
        <v>0.63660000000000005</v>
      </c>
      <c r="Y102" s="6">
        <v>0.21079999999999999</v>
      </c>
      <c r="Z102" s="4">
        <v>-10.39</v>
      </c>
      <c r="AA102" s="4">
        <v>-97.5</v>
      </c>
      <c r="AB102" s="6">
        <v>0.99960000000000004</v>
      </c>
      <c r="AC102" s="4">
        <v>93.33</v>
      </c>
      <c r="AD102" s="3">
        <v>0.92</v>
      </c>
      <c r="AE102" s="6">
        <v>1.2999999999999999E-3</v>
      </c>
      <c r="AF102" s="6">
        <v>1E-4</v>
      </c>
      <c r="AG102" s="7">
        <v>0</v>
      </c>
      <c r="AH102" s="7">
        <v>0</v>
      </c>
      <c r="AI102" s="7">
        <v>24</v>
      </c>
      <c r="AJ102" s="6">
        <v>0.99970000000000003</v>
      </c>
      <c r="AK102" s="7">
        <v>789501600</v>
      </c>
      <c r="AL102" s="5">
        <v>51.741700000000002</v>
      </c>
      <c r="AM102" s="5">
        <v>305.83629999999999</v>
      </c>
      <c r="AN102" s="5">
        <v>1177.7389000000001</v>
      </c>
    </row>
    <row r="103" spans="1:40" ht="16.5" x14ac:dyDescent="0.45">
      <c r="A103" s="1" t="s">
        <v>72</v>
      </c>
      <c r="B103" s="1" t="s">
        <v>73</v>
      </c>
      <c r="C103" s="1" t="s">
        <v>41</v>
      </c>
      <c r="D103" s="1" t="s">
        <v>50</v>
      </c>
      <c r="E103" s="1" t="s">
        <v>51</v>
      </c>
      <c r="F103" s="1" t="s">
        <v>50</v>
      </c>
      <c r="G103" s="1" t="s">
        <v>51</v>
      </c>
      <c r="H103" s="1" t="s">
        <v>52</v>
      </c>
      <c r="I103" s="1" t="s">
        <v>53</v>
      </c>
      <c r="J103" s="1">
        <f t="shared" si="1"/>
        <v>100</v>
      </c>
      <c r="K103" s="3">
        <v>1</v>
      </c>
      <c r="L103" s="4">
        <v>64.52</v>
      </c>
      <c r="M103" s="5">
        <v>5.89</v>
      </c>
      <c r="N103">
        <v>99.72999999999999</v>
      </c>
      <c r="O103">
        <v>99.82</v>
      </c>
      <c r="P103" s="6">
        <v>0.99819999999999998</v>
      </c>
      <c r="Q103" s="6">
        <v>0.99819999999999998</v>
      </c>
      <c r="R103">
        <v>0.03</v>
      </c>
      <c r="S103">
        <v>0.13999999999999999</v>
      </c>
      <c r="T103" s="7">
        <v>0</v>
      </c>
      <c r="U103" s="7">
        <v>0</v>
      </c>
      <c r="V103" s="7">
        <v>0</v>
      </c>
      <c r="W103" s="7">
        <v>0</v>
      </c>
      <c r="X103" s="6">
        <v>0.68620000000000003</v>
      </c>
      <c r="Y103" s="6">
        <v>0.60509999999999997</v>
      </c>
      <c r="Z103" s="4">
        <v>-12.09</v>
      </c>
      <c r="AA103" s="4">
        <v>-93.95</v>
      </c>
      <c r="AB103" s="6">
        <v>0.99970000000000003</v>
      </c>
      <c r="AC103" s="7">
        <v>0</v>
      </c>
      <c r="AD103" s="3">
        <v>1</v>
      </c>
      <c r="AE103" s="6">
        <v>2.2000000000000001E-3</v>
      </c>
      <c r="AF103" s="6">
        <v>1.6999999999999999E-3</v>
      </c>
      <c r="AG103" s="7">
        <v>0</v>
      </c>
      <c r="AH103" s="7">
        <v>0</v>
      </c>
      <c r="AI103" s="7">
        <v>68</v>
      </c>
      <c r="AJ103" s="6">
        <v>0.99990000000000001</v>
      </c>
      <c r="AK103" s="7">
        <v>789501600</v>
      </c>
      <c r="AL103" s="5">
        <v>115.5617</v>
      </c>
      <c r="AM103" s="5">
        <v>455.23950000000002</v>
      </c>
      <c r="AN103" s="5">
        <v>1244.8625</v>
      </c>
    </row>
    <row r="104" spans="1:40" ht="16.5" x14ac:dyDescent="0.45">
      <c r="A104" s="1" t="s">
        <v>72</v>
      </c>
      <c r="B104" s="1" t="s">
        <v>73</v>
      </c>
      <c r="C104" s="1" t="s">
        <v>41</v>
      </c>
      <c r="D104" s="1" t="s">
        <v>50</v>
      </c>
      <c r="E104" s="1" t="s">
        <v>51</v>
      </c>
      <c r="F104" s="1" t="s">
        <v>50</v>
      </c>
      <c r="G104" s="1" t="s">
        <v>51</v>
      </c>
      <c r="H104" s="1" t="s">
        <v>54</v>
      </c>
      <c r="I104" s="1" t="s">
        <v>55</v>
      </c>
      <c r="J104" s="1">
        <f t="shared" si="1"/>
        <v>100</v>
      </c>
      <c r="K104" s="3">
        <v>1</v>
      </c>
      <c r="L104" s="4">
        <v>29.01</v>
      </c>
      <c r="M104" s="5">
        <v>4.6748000000000003</v>
      </c>
      <c r="N104">
        <v>99.52</v>
      </c>
      <c r="O104">
        <v>99.88</v>
      </c>
      <c r="P104" s="6">
        <v>0.99880000000000002</v>
      </c>
      <c r="Q104" s="6">
        <v>0.99880000000000002</v>
      </c>
      <c r="R104">
        <v>0.12</v>
      </c>
      <c r="S104">
        <v>0.08</v>
      </c>
      <c r="T104" s="7">
        <v>0</v>
      </c>
      <c r="U104" s="7">
        <v>0</v>
      </c>
      <c r="V104" s="7">
        <v>0</v>
      </c>
      <c r="W104" s="7">
        <v>0</v>
      </c>
      <c r="X104" s="6">
        <v>0.68079999999999996</v>
      </c>
      <c r="Y104" s="6">
        <v>0.34200000000000003</v>
      </c>
      <c r="Z104" s="4">
        <v>-11.31</v>
      </c>
      <c r="AA104" s="4">
        <v>-95.15</v>
      </c>
      <c r="AB104" s="6">
        <v>0.99970000000000003</v>
      </c>
      <c r="AD104" s="3">
        <v>1</v>
      </c>
      <c r="AE104" s="6">
        <v>2.0999999999999999E-3</v>
      </c>
      <c r="AF104" s="6">
        <v>6.1000000000000004E-3</v>
      </c>
      <c r="AG104" s="7">
        <v>0</v>
      </c>
      <c r="AH104" s="7">
        <v>0</v>
      </c>
      <c r="AI104" s="7">
        <v>45</v>
      </c>
      <c r="AJ104" s="3">
        <v>1</v>
      </c>
      <c r="AK104" s="7">
        <v>789501600</v>
      </c>
      <c r="AL104" s="5">
        <v>62.22</v>
      </c>
      <c r="AM104" s="5">
        <v>297.26350000000002</v>
      </c>
      <c r="AN104" s="5">
        <v>1023.1902</v>
      </c>
    </row>
    <row r="105" spans="1:40" ht="16.5" x14ac:dyDescent="0.45">
      <c r="A105" s="1" t="s">
        <v>72</v>
      </c>
      <c r="B105" s="1" t="s">
        <v>73</v>
      </c>
      <c r="C105" s="1" t="s">
        <v>41</v>
      </c>
      <c r="D105" s="1" t="s">
        <v>50</v>
      </c>
      <c r="E105" s="1" t="s">
        <v>51</v>
      </c>
      <c r="F105" s="1" t="s">
        <v>50</v>
      </c>
      <c r="G105" s="1" t="s">
        <v>51</v>
      </c>
      <c r="H105" s="1" t="s">
        <v>56</v>
      </c>
      <c r="I105" s="1" t="s">
        <v>57</v>
      </c>
      <c r="J105" s="1">
        <f t="shared" si="1"/>
        <v>100</v>
      </c>
      <c r="K105" s="3">
        <v>1</v>
      </c>
      <c r="L105" s="4">
        <v>50.77</v>
      </c>
      <c r="M105" s="5">
        <v>5.5389999999999997</v>
      </c>
      <c r="N105">
        <v>99.86</v>
      </c>
      <c r="O105">
        <v>99.86</v>
      </c>
      <c r="P105" s="6">
        <v>0.99850000000000005</v>
      </c>
      <c r="Q105" s="6">
        <v>0.99850000000000005</v>
      </c>
      <c r="R105">
        <v>0</v>
      </c>
      <c r="S105">
        <v>0.06</v>
      </c>
      <c r="T105" s="7">
        <v>0</v>
      </c>
      <c r="U105" s="7">
        <v>0</v>
      </c>
      <c r="V105" s="7">
        <v>0</v>
      </c>
      <c r="W105" s="7">
        <v>0</v>
      </c>
      <c r="X105" s="6">
        <v>0.67620000000000002</v>
      </c>
      <c r="Y105" s="6">
        <v>0.40560000000000002</v>
      </c>
      <c r="Z105" s="4">
        <v>-10.79</v>
      </c>
      <c r="AA105" s="4">
        <v>-94.12</v>
      </c>
      <c r="AB105" s="6">
        <v>0.99980000000000002</v>
      </c>
      <c r="AD105" s="6">
        <v>0.85709999999999997</v>
      </c>
      <c r="AE105" s="6">
        <v>3.0999999999999999E-3</v>
      </c>
      <c r="AF105" s="6">
        <v>9.9000000000000008E-3</v>
      </c>
      <c r="AG105" s="7">
        <v>0</v>
      </c>
      <c r="AH105" s="7">
        <v>0</v>
      </c>
      <c r="AI105" s="7">
        <v>22</v>
      </c>
      <c r="AJ105" s="3">
        <v>1</v>
      </c>
      <c r="AK105" s="7">
        <v>789501600</v>
      </c>
      <c r="AL105" s="5">
        <v>67.456800000000001</v>
      </c>
      <c r="AM105" s="5">
        <v>363.41329999999999</v>
      </c>
      <c r="AN105" s="5">
        <v>1184.597</v>
      </c>
    </row>
    <row r="106" spans="1:40" ht="16.5" x14ac:dyDescent="0.45">
      <c r="A106" s="1" t="s">
        <v>72</v>
      </c>
      <c r="B106" s="1" t="s">
        <v>73</v>
      </c>
      <c r="C106" s="1" t="s">
        <v>41</v>
      </c>
      <c r="D106" s="1" t="s">
        <v>50</v>
      </c>
      <c r="E106" s="1" t="s">
        <v>51</v>
      </c>
      <c r="F106" s="1" t="s">
        <v>50</v>
      </c>
      <c r="G106" s="1" t="s">
        <v>51</v>
      </c>
      <c r="H106" s="1" t="s">
        <v>58</v>
      </c>
      <c r="I106" s="1" t="s">
        <v>59</v>
      </c>
      <c r="J106" s="1">
        <f t="shared" si="1"/>
        <v>100</v>
      </c>
      <c r="K106" s="3">
        <v>1</v>
      </c>
      <c r="L106" s="4">
        <v>35.56</v>
      </c>
      <c r="M106" s="5">
        <v>7.0735999999999999</v>
      </c>
      <c r="N106">
        <v>99.77000000000001</v>
      </c>
      <c r="O106">
        <v>99.9</v>
      </c>
      <c r="P106" s="6">
        <v>0.999</v>
      </c>
      <c r="Q106" s="6">
        <v>0.999</v>
      </c>
      <c r="R106">
        <v>0.06</v>
      </c>
      <c r="S106">
        <v>0.06</v>
      </c>
      <c r="T106" s="7">
        <v>0</v>
      </c>
      <c r="U106" s="7">
        <v>0</v>
      </c>
      <c r="V106" s="7">
        <v>0</v>
      </c>
      <c r="W106" s="7">
        <v>0</v>
      </c>
      <c r="X106" s="6">
        <v>0.70820000000000005</v>
      </c>
      <c r="Y106" s="6">
        <v>0.43709999999999999</v>
      </c>
      <c r="Z106" s="4">
        <v>-11.29</v>
      </c>
      <c r="AA106" s="4">
        <v>-98.2</v>
      </c>
      <c r="AB106" s="6">
        <v>0.99970000000000003</v>
      </c>
      <c r="AD106" s="6">
        <v>0.66669999999999996</v>
      </c>
      <c r="AE106" s="6">
        <v>1.4E-3</v>
      </c>
      <c r="AF106" s="6">
        <v>3.3E-3</v>
      </c>
      <c r="AG106" s="7">
        <v>0</v>
      </c>
      <c r="AH106" s="7">
        <v>0</v>
      </c>
      <c r="AI106" s="7">
        <v>26</v>
      </c>
      <c r="AJ106" s="3">
        <v>1</v>
      </c>
      <c r="AK106" s="7">
        <v>789501600</v>
      </c>
      <c r="AL106" s="5">
        <v>70.228300000000004</v>
      </c>
      <c r="AM106" s="5">
        <v>419.39760000000001</v>
      </c>
      <c r="AN106" s="5">
        <v>1565.0675000000001</v>
      </c>
    </row>
    <row r="107" spans="1:40" ht="16.5" x14ac:dyDescent="0.45">
      <c r="A107" s="1" t="s">
        <v>73</v>
      </c>
      <c r="B107" s="1" t="s">
        <v>74</v>
      </c>
      <c r="C107" s="1" t="s">
        <v>41</v>
      </c>
      <c r="D107" s="1" t="s">
        <v>42</v>
      </c>
      <c r="E107" s="1" t="s">
        <v>43</v>
      </c>
      <c r="F107" s="1" t="s">
        <v>42</v>
      </c>
      <c r="G107" s="1" t="s">
        <v>43</v>
      </c>
      <c r="H107" s="1" t="s">
        <v>44</v>
      </c>
      <c r="I107" s="1" t="s">
        <v>45</v>
      </c>
      <c r="J107" s="1">
        <f t="shared" si="1"/>
        <v>100</v>
      </c>
      <c r="K107" s="3">
        <v>1</v>
      </c>
      <c r="L107" s="4">
        <v>17.18</v>
      </c>
      <c r="M107" s="5">
        <v>4.2709000000000001</v>
      </c>
      <c r="N107">
        <v>99.56</v>
      </c>
      <c r="O107">
        <v>99.8</v>
      </c>
      <c r="P107" s="6">
        <v>0.998</v>
      </c>
      <c r="Q107" s="6">
        <v>0.998</v>
      </c>
      <c r="R107">
        <v>0.11</v>
      </c>
      <c r="S107">
        <v>0.06</v>
      </c>
      <c r="T107" s="7">
        <v>0</v>
      </c>
      <c r="U107" s="7">
        <v>0</v>
      </c>
      <c r="V107" s="7">
        <v>0</v>
      </c>
      <c r="W107" s="7">
        <v>0</v>
      </c>
      <c r="X107" s="6">
        <v>0.46139999999999998</v>
      </c>
      <c r="Y107" s="6">
        <v>0.15579999999999999</v>
      </c>
      <c r="Z107" s="4">
        <v>-10.18</v>
      </c>
      <c r="AA107" s="4">
        <v>-98.48</v>
      </c>
      <c r="AB107" s="6">
        <v>0.99970000000000003</v>
      </c>
      <c r="AD107" s="6">
        <v>0.875</v>
      </c>
      <c r="AE107" s="6">
        <v>1.2999999999999999E-3</v>
      </c>
      <c r="AF107" s="6">
        <v>5.0000000000000001E-4</v>
      </c>
      <c r="AG107" s="7">
        <v>0</v>
      </c>
      <c r="AH107" s="7">
        <v>0</v>
      </c>
      <c r="AI107" s="7">
        <v>16</v>
      </c>
      <c r="AJ107" s="6">
        <v>0.99990000000000001</v>
      </c>
      <c r="AK107" s="7">
        <v>789501600</v>
      </c>
      <c r="AL107" s="5">
        <v>41.456699999999998</v>
      </c>
      <c r="AM107" s="5">
        <v>201.9032</v>
      </c>
      <c r="AN107" s="5">
        <v>998.33119999999997</v>
      </c>
    </row>
    <row r="108" spans="1:40" ht="16.5" x14ac:dyDescent="0.45">
      <c r="A108" s="1" t="s">
        <v>73</v>
      </c>
      <c r="B108" s="1" t="s">
        <v>74</v>
      </c>
      <c r="C108" s="1" t="s">
        <v>41</v>
      </c>
      <c r="D108" s="1" t="s">
        <v>42</v>
      </c>
      <c r="E108" s="1" t="s">
        <v>43</v>
      </c>
      <c r="F108" s="1" t="s">
        <v>42</v>
      </c>
      <c r="G108" s="1" t="s">
        <v>43</v>
      </c>
      <c r="H108" s="1" t="s">
        <v>46</v>
      </c>
      <c r="I108" s="1" t="s">
        <v>47</v>
      </c>
      <c r="J108" s="1">
        <f t="shared" si="1"/>
        <v>100</v>
      </c>
      <c r="K108" s="3">
        <v>1</v>
      </c>
      <c r="L108" s="4">
        <v>18.13</v>
      </c>
      <c r="M108" s="5">
        <v>3.3765999999999998</v>
      </c>
      <c r="N108">
        <v>100</v>
      </c>
      <c r="O108">
        <v>99.82</v>
      </c>
      <c r="P108" s="6">
        <v>0.99819999999999998</v>
      </c>
      <c r="Q108" s="6">
        <v>0.99819999999999998</v>
      </c>
      <c r="R108">
        <v>0.11</v>
      </c>
      <c r="S108">
        <v>0.06</v>
      </c>
      <c r="T108" s="7">
        <v>0</v>
      </c>
      <c r="U108" s="7">
        <v>0</v>
      </c>
      <c r="V108" s="7">
        <v>0</v>
      </c>
      <c r="W108" s="7">
        <v>0</v>
      </c>
      <c r="X108" s="6">
        <v>0.3921</v>
      </c>
      <c r="Y108" s="6">
        <v>0.13750000000000001</v>
      </c>
      <c r="Z108" s="4">
        <v>-9.39</v>
      </c>
      <c r="AA108" s="4">
        <v>-99.37</v>
      </c>
      <c r="AB108" s="6">
        <v>0.99960000000000004</v>
      </c>
      <c r="AC108" s="7">
        <v>100</v>
      </c>
      <c r="AD108" s="6">
        <v>0.28570000000000001</v>
      </c>
      <c r="AE108" s="6">
        <v>1.1000000000000001E-3</v>
      </c>
      <c r="AF108" s="6">
        <v>2.9999999999999997E-4</v>
      </c>
      <c r="AG108" s="7">
        <v>0</v>
      </c>
      <c r="AH108" s="7">
        <v>0</v>
      </c>
      <c r="AI108" s="7">
        <v>45</v>
      </c>
      <c r="AJ108" s="3">
        <v>1</v>
      </c>
      <c r="AK108" s="7">
        <v>789501600</v>
      </c>
      <c r="AL108" s="5">
        <v>36.365000000000002</v>
      </c>
      <c r="AM108" s="5">
        <v>186.23349999999999</v>
      </c>
      <c r="AN108" s="5">
        <v>761.35590000000002</v>
      </c>
    </row>
    <row r="109" spans="1:40" ht="16.5" x14ac:dyDescent="0.45">
      <c r="A109" s="1" t="s">
        <v>73</v>
      </c>
      <c r="B109" s="1" t="s">
        <v>74</v>
      </c>
      <c r="C109" s="1" t="s">
        <v>41</v>
      </c>
      <c r="D109" s="1" t="s">
        <v>42</v>
      </c>
      <c r="E109" s="1" t="s">
        <v>43</v>
      </c>
      <c r="F109" s="1" t="s">
        <v>42</v>
      </c>
      <c r="G109" s="1" t="s">
        <v>43</v>
      </c>
      <c r="H109" s="1" t="s">
        <v>48</v>
      </c>
      <c r="I109" s="1" t="s">
        <v>49</v>
      </c>
      <c r="J109" s="1">
        <f t="shared" si="1"/>
        <v>100</v>
      </c>
      <c r="K109" s="3">
        <v>1</v>
      </c>
      <c r="L109" s="7">
        <v>20</v>
      </c>
      <c r="M109" s="5">
        <v>4.4568000000000003</v>
      </c>
      <c r="N109">
        <v>99.13</v>
      </c>
      <c r="O109">
        <v>99.95</v>
      </c>
      <c r="P109" s="6">
        <v>0.99950000000000006</v>
      </c>
      <c r="Q109" s="6">
        <v>0.99950000000000006</v>
      </c>
      <c r="R109">
        <v>0.13</v>
      </c>
      <c r="S109">
        <v>0.06</v>
      </c>
      <c r="T109" s="7">
        <v>0</v>
      </c>
      <c r="U109" s="7">
        <v>0</v>
      </c>
      <c r="V109" s="7">
        <v>0</v>
      </c>
      <c r="W109" s="7">
        <v>0</v>
      </c>
      <c r="X109" s="6">
        <v>0.50819999999999999</v>
      </c>
      <c r="Y109" s="6">
        <v>0.2082</v>
      </c>
      <c r="Z109" s="4">
        <v>-9.4499999999999993</v>
      </c>
      <c r="AA109" s="4">
        <v>-98.61</v>
      </c>
      <c r="AB109" s="6">
        <v>0.99980000000000002</v>
      </c>
      <c r="AC109" s="4">
        <v>92.31</v>
      </c>
      <c r="AD109" s="3">
        <v>0.95</v>
      </c>
      <c r="AE109" s="6">
        <v>1.1999999999999999E-3</v>
      </c>
      <c r="AF109" s="6">
        <v>4.0000000000000002E-4</v>
      </c>
      <c r="AG109" s="7">
        <v>0</v>
      </c>
      <c r="AH109" s="7">
        <v>0</v>
      </c>
      <c r="AI109" s="7">
        <v>19</v>
      </c>
      <c r="AJ109" s="6">
        <v>0.99950000000000006</v>
      </c>
      <c r="AK109" s="7">
        <v>789501600</v>
      </c>
      <c r="AL109" s="5">
        <v>43.828400000000002</v>
      </c>
      <c r="AM109" s="5">
        <v>192.5676</v>
      </c>
      <c r="AN109" s="5">
        <v>1065.4248</v>
      </c>
    </row>
    <row r="110" spans="1:40" ht="16.5" x14ac:dyDescent="0.45">
      <c r="A110" s="1" t="s">
        <v>73</v>
      </c>
      <c r="B110" s="1" t="s">
        <v>74</v>
      </c>
      <c r="C110" s="1" t="s">
        <v>41</v>
      </c>
      <c r="D110" s="1" t="s">
        <v>50</v>
      </c>
      <c r="E110" s="1" t="s">
        <v>51</v>
      </c>
      <c r="F110" s="1" t="s">
        <v>50</v>
      </c>
      <c r="G110" s="1" t="s">
        <v>51</v>
      </c>
      <c r="H110" s="1" t="s">
        <v>52</v>
      </c>
      <c r="I110" s="1" t="s">
        <v>53</v>
      </c>
      <c r="J110" s="1">
        <f t="shared" si="1"/>
        <v>100</v>
      </c>
      <c r="K110" s="3">
        <v>1</v>
      </c>
      <c r="L110" s="4">
        <v>50.7</v>
      </c>
      <c r="M110" s="5">
        <v>6.7427000000000001</v>
      </c>
      <c r="N110">
        <v>99.72</v>
      </c>
      <c r="O110">
        <v>99.78</v>
      </c>
      <c r="P110" s="6">
        <v>0.99780000000000002</v>
      </c>
      <c r="Q110" s="6">
        <v>0.99790000000000001</v>
      </c>
      <c r="R110">
        <v>0.04</v>
      </c>
      <c r="S110">
        <v>0.11</v>
      </c>
      <c r="T110" s="7">
        <v>0</v>
      </c>
      <c r="U110" s="7">
        <v>0</v>
      </c>
      <c r="V110" s="7">
        <v>0</v>
      </c>
      <c r="W110" s="7">
        <v>0</v>
      </c>
      <c r="X110" s="6">
        <v>0.68659999999999999</v>
      </c>
      <c r="Y110" s="6">
        <v>0.56089999999999995</v>
      </c>
      <c r="Z110" s="4">
        <v>-12.1</v>
      </c>
      <c r="AA110" s="4">
        <v>-95.51</v>
      </c>
      <c r="AB110" s="6">
        <v>0.99939999999999996</v>
      </c>
      <c r="AC110" s="7">
        <v>50</v>
      </c>
      <c r="AD110" s="3">
        <v>1</v>
      </c>
      <c r="AE110" s="6">
        <v>1.8E-3</v>
      </c>
      <c r="AF110" s="6">
        <v>2E-3</v>
      </c>
      <c r="AG110" s="7">
        <v>0</v>
      </c>
      <c r="AH110" s="7">
        <v>0</v>
      </c>
      <c r="AI110" s="7">
        <v>79</v>
      </c>
      <c r="AJ110" s="6">
        <v>0.99990000000000001</v>
      </c>
      <c r="AK110" s="7">
        <v>789501600</v>
      </c>
      <c r="AL110" s="5">
        <v>102.9034</v>
      </c>
      <c r="AM110" s="5">
        <v>500.73160000000001</v>
      </c>
      <c r="AN110" s="5">
        <v>1437.3657000000001</v>
      </c>
    </row>
    <row r="111" spans="1:40" ht="16.5" x14ac:dyDescent="0.45">
      <c r="A111" s="1" t="s">
        <v>73</v>
      </c>
      <c r="B111" s="1" t="s">
        <v>74</v>
      </c>
      <c r="C111" s="1" t="s">
        <v>41</v>
      </c>
      <c r="D111" s="1" t="s">
        <v>50</v>
      </c>
      <c r="E111" s="1" t="s">
        <v>51</v>
      </c>
      <c r="F111" s="1" t="s">
        <v>50</v>
      </c>
      <c r="G111" s="1" t="s">
        <v>51</v>
      </c>
      <c r="H111" s="1" t="s">
        <v>54</v>
      </c>
      <c r="I111" s="1" t="s">
        <v>55</v>
      </c>
      <c r="J111" s="1">
        <f t="shared" si="1"/>
        <v>100</v>
      </c>
      <c r="K111" s="3">
        <v>1</v>
      </c>
      <c r="L111" s="4">
        <v>25.79</v>
      </c>
      <c r="M111" s="5">
        <v>4.9686000000000003</v>
      </c>
      <c r="N111">
        <v>99.72999999999999</v>
      </c>
      <c r="O111">
        <v>99.91</v>
      </c>
      <c r="P111" s="6">
        <v>0.99909999999999999</v>
      </c>
      <c r="Q111" s="6">
        <v>0.99909999999999999</v>
      </c>
      <c r="R111">
        <v>0</v>
      </c>
      <c r="S111">
        <v>0.06</v>
      </c>
      <c r="T111" s="7">
        <v>0</v>
      </c>
      <c r="U111" s="7">
        <v>0</v>
      </c>
      <c r="V111" s="7">
        <v>0</v>
      </c>
      <c r="W111" s="7">
        <v>0</v>
      </c>
      <c r="X111" s="6">
        <v>0.66249999999999998</v>
      </c>
      <c r="Y111" s="6">
        <v>0.35370000000000001</v>
      </c>
      <c r="Z111" s="4">
        <v>-11.05</v>
      </c>
      <c r="AA111" s="4">
        <v>-96.6</v>
      </c>
      <c r="AB111" s="6">
        <v>0.99990000000000001</v>
      </c>
      <c r="AD111" s="3">
        <v>1</v>
      </c>
      <c r="AE111" s="6">
        <v>1.9E-3</v>
      </c>
      <c r="AF111" s="6">
        <v>4.0000000000000001E-3</v>
      </c>
      <c r="AG111" s="7">
        <v>0</v>
      </c>
      <c r="AH111" s="7">
        <v>0</v>
      </c>
      <c r="AI111" s="7">
        <v>34</v>
      </c>
      <c r="AJ111" s="3">
        <v>1</v>
      </c>
      <c r="AK111" s="7">
        <v>789501600</v>
      </c>
      <c r="AL111" s="5">
        <v>59.258400000000002</v>
      </c>
      <c r="AM111" s="5">
        <v>262.24779999999998</v>
      </c>
      <c r="AN111" s="5">
        <v>1143.9666</v>
      </c>
    </row>
    <row r="112" spans="1:40" ht="16.5" x14ac:dyDescent="0.45">
      <c r="A112" s="1" t="s">
        <v>73</v>
      </c>
      <c r="B112" s="1" t="s">
        <v>74</v>
      </c>
      <c r="C112" s="1" t="s">
        <v>41</v>
      </c>
      <c r="D112" s="1" t="s">
        <v>50</v>
      </c>
      <c r="E112" s="1" t="s">
        <v>51</v>
      </c>
      <c r="F112" s="1" t="s">
        <v>50</v>
      </c>
      <c r="G112" s="1" t="s">
        <v>51</v>
      </c>
      <c r="H112" s="1" t="s">
        <v>56</v>
      </c>
      <c r="I112" s="1" t="s">
        <v>57</v>
      </c>
      <c r="J112" s="1">
        <f t="shared" si="1"/>
        <v>100</v>
      </c>
      <c r="K112" s="3">
        <v>1</v>
      </c>
      <c r="L112" s="4">
        <v>33.72</v>
      </c>
      <c r="M112" s="5">
        <v>4.8167</v>
      </c>
      <c r="N112">
        <v>99.69</v>
      </c>
      <c r="O112">
        <v>99.9</v>
      </c>
      <c r="P112" s="6">
        <v>0.999</v>
      </c>
      <c r="Q112" s="6">
        <v>0.999</v>
      </c>
      <c r="R112">
        <v>0</v>
      </c>
      <c r="S112">
        <v>0.06</v>
      </c>
      <c r="T112" s="7">
        <v>0</v>
      </c>
      <c r="U112" s="7">
        <v>0</v>
      </c>
      <c r="V112" s="7">
        <v>0</v>
      </c>
      <c r="W112" s="7">
        <v>0</v>
      </c>
      <c r="X112" s="6">
        <v>0.62980000000000003</v>
      </c>
      <c r="Y112" s="6">
        <v>0.39219999999999999</v>
      </c>
      <c r="Z112" s="4">
        <v>-10.07</v>
      </c>
      <c r="AA112" s="4">
        <v>-95.46</v>
      </c>
      <c r="AB112" s="6">
        <v>0.99980000000000002</v>
      </c>
      <c r="AD112" s="3">
        <v>0.75</v>
      </c>
      <c r="AE112" s="6">
        <v>2.8999999999999998E-3</v>
      </c>
      <c r="AF112" s="6">
        <v>8.9999999999999993E-3</v>
      </c>
      <c r="AG112" s="7">
        <v>0</v>
      </c>
      <c r="AH112" s="7">
        <v>0</v>
      </c>
      <c r="AI112" s="7">
        <v>16</v>
      </c>
      <c r="AJ112" s="3">
        <v>1</v>
      </c>
      <c r="AK112" s="7">
        <v>789501600</v>
      </c>
      <c r="AL112" s="5">
        <v>54.5167</v>
      </c>
      <c r="AM112" s="5">
        <v>247.20050000000001</v>
      </c>
      <c r="AN112" s="5">
        <v>1090.8273999999999</v>
      </c>
    </row>
    <row r="113" spans="1:40" ht="16.5" x14ac:dyDescent="0.45">
      <c r="A113" s="1" t="s">
        <v>73</v>
      </c>
      <c r="B113" s="1" t="s">
        <v>74</v>
      </c>
      <c r="C113" s="1" t="s">
        <v>41</v>
      </c>
      <c r="D113" s="1" t="s">
        <v>50</v>
      </c>
      <c r="E113" s="1" t="s">
        <v>51</v>
      </c>
      <c r="F113" s="1" t="s">
        <v>50</v>
      </c>
      <c r="G113" s="1" t="s">
        <v>51</v>
      </c>
      <c r="H113" s="1" t="s">
        <v>58</v>
      </c>
      <c r="I113" s="1" t="s">
        <v>59</v>
      </c>
      <c r="J113" s="1">
        <f t="shared" si="1"/>
        <v>100</v>
      </c>
      <c r="K113" s="3">
        <v>1</v>
      </c>
      <c r="L113" s="4">
        <v>31.43</v>
      </c>
      <c r="M113" s="5">
        <v>7.1200999999999999</v>
      </c>
      <c r="N113">
        <v>99.7</v>
      </c>
      <c r="O113">
        <v>99.88</v>
      </c>
      <c r="P113" s="6">
        <v>0.99880000000000002</v>
      </c>
      <c r="Q113" s="6">
        <v>0.99880000000000002</v>
      </c>
      <c r="R113">
        <v>0</v>
      </c>
      <c r="S113">
        <v>0.05</v>
      </c>
      <c r="T113" s="7">
        <v>0</v>
      </c>
      <c r="U113" s="7">
        <v>0</v>
      </c>
      <c r="V113" s="7">
        <v>0</v>
      </c>
      <c r="W113" s="7">
        <v>0</v>
      </c>
      <c r="X113" s="6">
        <v>0.67789999999999995</v>
      </c>
      <c r="Y113" s="6">
        <v>0.40970000000000001</v>
      </c>
      <c r="Z113" s="4">
        <v>-11.09</v>
      </c>
      <c r="AA113" s="4">
        <v>-99.6</v>
      </c>
      <c r="AB113" s="6">
        <v>0.99970000000000003</v>
      </c>
      <c r="AC113" s="7">
        <v>100</v>
      </c>
      <c r="AD113" s="3">
        <v>1</v>
      </c>
      <c r="AE113" s="6">
        <v>1.1000000000000001E-3</v>
      </c>
      <c r="AF113" s="6">
        <v>1E-3</v>
      </c>
      <c r="AG113" s="7">
        <v>0</v>
      </c>
      <c r="AH113" s="7">
        <v>0</v>
      </c>
      <c r="AI113" s="7">
        <v>26</v>
      </c>
      <c r="AJ113" s="3">
        <v>1</v>
      </c>
      <c r="AK113" s="7">
        <v>789501600</v>
      </c>
      <c r="AL113" s="5">
        <v>57.638300000000001</v>
      </c>
      <c r="AM113" s="5">
        <v>314.93259999999998</v>
      </c>
      <c r="AN113" s="5">
        <v>1678.0092999999999</v>
      </c>
    </row>
    <row r="114" spans="1:40" ht="16.5" x14ac:dyDescent="0.45">
      <c r="A114" s="1" t="s">
        <v>74</v>
      </c>
      <c r="B114" s="1" t="s">
        <v>75</v>
      </c>
      <c r="C114" s="1" t="s">
        <v>41</v>
      </c>
      <c r="D114" s="1" t="s">
        <v>42</v>
      </c>
      <c r="E114" s="1" t="s">
        <v>43</v>
      </c>
      <c r="F114" s="1" t="s">
        <v>42</v>
      </c>
      <c r="G114" s="1" t="s">
        <v>43</v>
      </c>
      <c r="H114" s="1" t="s">
        <v>44</v>
      </c>
      <c r="I114" s="1" t="s">
        <v>45</v>
      </c>
      <c r="J114" s="1">
        <f t="shared" si="1"/>
        <v>100</v>
      </c>
      <c r="K114" s="3">
        <v>1</v>
      </c>
      <c r="L114" s="4">
        <v>10.37</v>
      </c>
      <c r="M114" s="5">
        <v>3.2473000000000001</v>
      </c>
      <c r="N114">
        <v>99.26</v>
      </c>
      <c r="O114">
        <v>99.71</v>
      </c>
      <c r="P114" s="6">
        <v>0.99709999999999999</v>
      </c>
      <c r="Q114" s="6">
        <v>0.99719999999999998</v>
      </c>
      <c r="R114">
        <v>0.2</v>
      </c>
      <c r="S114">
        <v>0.04</v>
      </c>
      <c r="T114" s="7">
        <v>0</v>
      </c>
      <c r="U114" s="7">
        <v>0</v>
      </c>
      <c r="V114" s="7">
        <v>0</v>
      </c>
      <c r="W114" s="7">
        <v>0</v>
      </c>
      <c r="X114" s="6">
        <v>0.32350000000000001</v>
      </c>
      <c r="Y114" s="6">
        <v>0.12720000000000001</v>
      </c>
      <c r="Z114" s="4">
        <v>-8.9499999999999993</v>
      </c>
      <c r="AA114" s="4">
        <v>-99.7</v>
      </c>
      <c r="AB114" s="6">
        <v>0.99950000000000006</v>
      </c>
      <c r="AD114" s="3">
        <v>1</v>
      </c>
      <c r="AE114" s="6">
        <v>1E-3</v>
      </c>
      <c r="AF114" s="6">
        <v>2.9999999999999997E-4</v>
      </c>
      <c r="AG114" s="7">
        <v>0</v>
      </c>
      <c r="AH114" s="7">
        <v>0</v>
      </c>
      <c r="AI114" s="7">
        <v>16</v>
      </c>
      <c r="AJ114" s="6">
        <v>0.99980000000000002</v>
      </c>
      <c r="AK114" s="7">
        <v>789501600</v>
      </c>
      <c r="AL114" s="5">
        <v>28.1</v>
      </c>
      <c r="AM114" s="5">
        <v>161.23689999999999</v>
      </c>
      <c r="AN114" s="5">
        <v>740.52599999999995</v>
      </c>
    </row>
    <row r="115" spans="1:40" ht="16.5" x14ac:dyDescent="0.45">
      <c r="A115" s="1" t="s">
        <v>74</v>
      </c>
      <c r="B115" s="1" t="s">
        <v>75</v>
      </c>
      <c r="C115" s="1" t="s">
        <v>41</v>
      </c>
      <c r="D115" s="1" t="s">
        <v>42</v>
      </c>
      <c r="E115" s="1" t="s">
        <v>43</v>
      </c>
      <c r="F115" s="1" t="s">
        <v>42</v>
      </c>
      <c r="G115" s="1" t="s">
        <v>43</v>
      </c>
      <c r="H115" s="1" t="s">
        <v>46</v>
      </c>
      <c r="I115" s="1" t="s">
        <v>47</v>
      </c>
      <c r="J115" s="1">
        <f t="shared" si="1"/>
        <v>100</v>
      </c>
      <c r="K115" s="3">
        <v>1</v>
      </c>
      <c r="L115" s="4">
        <v>15.93</v>
      </c>
      <c r="M115" s="5">
        <v>2.1755</v>
      </c>
      <c r="N115">
        <v>99.77000000000001</v>
      </c>
      <c r="O115">
        <v>99.839999999999989</v>
      </c>
      <c r="P115" s="6">
        <v>0.99839999999999995</v>
      </c>
      <c r="Q115" s="6">
        <v>0.99870000000000003</v>
      </c>
      <c r="R115">
        <v>0</v>
      </c>
      <c r="S115">
        <v>0.05</v>
      </c>
      <c r="T115" s="7">
        <v>0</v>
      </c>
      <c r="U115" s="7">
        <v>0</v>
      </c>
      <c r="V115" s="7">
        <v>0</v>
      </c>
      <c r="W115" s="7">
        <v>0</v>
      </c>
      <c r="X115" s="6">
        <v>0.2646</v>
      </c>
      <c r="Y115" s="6">
        <v>0.1147</v>
      </c>
      <c r="Z115" s="4">
        <v>-8.17</v>
      </c>
      <c r="AA115" s="4">
        <v>-99.78</v>
      </c>
      <c r="AB115" s="6">
        <v>0.99960000000000004</v>
      </c>
      <c r="AD115" s="3">
        <v>1</v>
      </c>
      <c r="AE115" s="6">
        <v>1.6000000000000001E-3</v>
      </c>
      <c r="AF115" s="3">
        <v>0</v>
      </c>
      <c r="AG115" s="7">
        <v>0</v>
      </c>
      <c r="AH115" s="7">
        <v>0</v>
      </c>
      <c r="AI115" s="7">
        <v>29</v>
      </c>
      <c r="AJ115" s="3">
        <v>1</v>
      </c>
      <c r="AK115" s="7">
        <v>789501600</v>
      </c>
      <c r="AL115" s="5">
        <v>25.085000000000001</v>
      </c>
      <c r="AM115" s="5">
        <v>92.142700000000005</v>
      </c>
      <c r="AN115" s="5">
        <v>516.29399999999998</v>
      </c>
    </row>
    <row r="116" spans="1:40" ht="16.5" x14ac:dyDescent="0.45">
      <c r="A116" s="1" t="s">
        <v>74</v>
      </c>
      <c r="B116" s="1" t="s">
        <v>75</v>
      </c>
      <c r="C116" s="1" t="s">
        <v>41</v>
      </c>
      <c r="D116" s="1" t="s">
        <v>42</v>
      </c>
      <c r="E116" s="1" t="s">
        <v>43</v>
      </c>
      <c r="F116" s="1" t="s">
        <v>42</v>
      </c>
      <c r="G116" s="1" t="s">
        <v>43</v>
      </c>
      <c r="H116" s="1" t="s">
        <v>48</v>
      </c>
      <c r="I116" s="1" t="s">
        <v>49</v>
      </c>
      <c r="J116" s="1">
        <f t="shared" si="1"/>
        <v>100</v>
      </c>
      <c r="K116" s="3">
        <v>1</v>
      </c>
      <c r="L116" s="7">
        <v>12</v>
      </c>
      <c r="M116" s="5">
        <v>3.7896000000000001</v>
      </c>
      <c r="N116">
        <v>99.42</v>
      </c>
      <c r="O116">
        <v>99.9</v>
      </c>
      <c r="P116" s="6">
        <v>0.999</v>
      </c>
      <c r="Q116" s="6">
        <v>0.999</v>
      </c>
      <c r="R116">
        <v>0</v>
      </c>
      <c r="S116">
        <v>0.06</v>
      </c>
      <c r="T116" s="7">
        <v>0</v>
      </c>
      <c r="U116" s="7">
        <v>0</v>
      </c>
      <c r="V116" s="7">
        <v>0</v>
      </c>
      <c r="W116" s="7">
        <v>0</v>
      </c>
      <c r="X116" s="6">
        <v>0.41110000000000002</v>
      </c>
      <c r="Y116" s="6">
        <v>0.2082</v>
      </c>
      <c r="Z116" s="4">
        <v>-8.23</v>
      </c>
      <c r="AA116" s="4">
        <v>-99.45</v>
      </c>
      <c r="AB116" s="6">
        <v>0.99980000000000002</v>
      </c>
      <c r="AC116" s="4">
        <v>85.71</v>
      </c>
      <c r="AD116" s="6">
        <v>0.875</v>
      </c>
      <c r="AE116" s="6">
        <v>1E-3</v>
      </c>
      <c r="AF116" s="6">
        <v>5.0000000000000001E-4</v>
      </c>
      <c r="AG116" s="7">
        <v>0</v>
      </c>
      <c r="AH116" s="7">
        <v>0</v>
      </c>
      <c r="AI116" s="7">
        <v>19</v>
      </c>
      <c r="AJ116" s="6">
        <v>0.99970000000000003</v>
      </c>
      <c r="AK116" s="7">
        <v>789501600</v>
      </c>
      <c r="AL116" s="5">
        <v>37.549999999999997</v>
      </c>
      <c r="AM116" s="5">
        <v>206.4323</v>
      </c>
      <c r="AN116" s="5">
        <v>849.94979999999998</v>
      </c>
    </row>
    <row r="117" spans="1:40" ht="16.5" x14ac:dyDescent="0.45">
      <c r="A117" s="1" t="s">
        <v>74</v>
      </c>
      <c r="B117" s="1" t="s">
        <v>75</v>
      </c>
      <c r="C117" s="1" t="s">
        <v>41</v>
      </c>
      <c r="D117" s="1" t="s">
        <v>50</v>
      </c>
      <c r="E117" s="1" t="s">
        <v>51</v>
      </c>
      <c r="F117" s="1" t="s">
        <v>50</v>
      </c>
      <c r="G117" s="1" t="s">
        <v>51</v>
      </c>
      <c r="H117" s="1" t="s">
        <v>52</v>
      </c>
      <c r="I117" s="1" t="s">
        <v>53</v>
      </c>
      <c r="J117" s="1">
        <f t="shared" si="1"/>
        <v>100</v>
      </c>
      <c r="K117" s="3">
        <v>1</v>
      </c>
      <c r="L117" s="4">
        <v>28.83</v>
      </c>
      <c r="M117" s="5">
        <v>7.0145999999999997</v>
      </c>
      <c r="N117">
        <v>99.550000000000011</v>
      </c>
      <c r="O117">
        <v>99.86</v>
      </c>
      <c r="P117" s="6">
        <v>0.99860000000000004</v>
      </c>
      <c r="Q117" s="6">
        <v>0.99860000000000004</v>
      </c>
      <c r="R117">
        <v>6.9999999999999993E-2</v>
      </c>
      <c r="S117">
        <v>0.08</v>
      </c>
      <c r="T117" s="7">
        <v>0</v>
      </c>
      <c r="U117" s="7">
        <v>0</v>
      </c>
      <c r="V117" s="7">
        <v>0</v>
      </c>
      <c r="W117" s="7">
        <v>0</v>
      </c>
      <c r="X117" s="6">
        <v>0.63949999999999996</v>
      </c>
      <c r="Y117" s="3">
        <v>0.59</v>
      </c>
      <c r="Z117" s="4">
        <v>-11.8</v>
      </c>
      <c r="AA117" s="4">
        <v>-96.38</v>
      </c>
      <c r="AB117" s="6">
        <v>0.99960000000000004</v>
      </c>
      <c r="AC117" s="7">
        <v>100</v>
      </c>
      <c r="AD117" s="3">
        <v>1</v>
      </c>
      <c r="AE117" s="6">
        <v>1.8E-3</v>
      </c>
      <c r="AF117" s="6">
        <v>2.2000000000000001E-3</v>
      </c>
      <c r="AG117" s="7">
        <v>0</v>
      </c>
      <c r="AH117" s="7">
        <v>0</v>
      </c>
      <c r="AI117" s="7">
        <v>43</v>
      </c>
      <c r="AJ117" s="6">
        <v>0.99990000000000001</v>
      </c>
      <c r="AK117" s="7">
        <v>789501600</v>
      </c>
      <c r="AL117" s="5">
        <v>80.538399999999996</v>
      </c>
      <c r="AM117" s="5">
        <v>475.52780000000001</v>
      </c>
      <c r="AN117" s="5">
        <v>1527.4892</v>
      </c>
    </row>
    <row r="118" spans="1:40" ht="16.5" x14ac:dyDescent="0.45">
      <c r="A118" s="1" t="s">
        <v>74</v>
      </c>
      <c r="B118" s="1" t="s">
        <v>75</v>
      </c>
      <c r="C118" s="1" t="s">
        <v>41</v>
      </c>
      <c r="D118" s="1" t="s">
        <v>50</v>
      </c>
      <c r="E118" s="1" t="s">
        <v>51</v>
      </c>
      <c r="F118" s="1" t="s">
        <v>50</v>
      </c>
      <c r="G118" s="1" t="s">
        <v>51</v>
      </c>
      <c r="H118" s="1" t="s">
        <v>54</v>
      </c>
      <c r="I118" s="1" t="s">
        <v>55</v>
      </c>
      <c r="J118" s="1">
        <f t="shared" si="1"/>
        <v>100</v>
      </c>
      <c r="K118" s="3">
        <v>1</v>
      </c>
      <c r="L118" s="4">
        <v>13.89</v>
      </c>
      <c r="M118" s="5">
        <v>4.1063000000000001</v>
      </c>
      <c r="N118">
        <v>99.83</v>
      </c>
      <c r="O118">
        <v>99.929999999999993</v>
      </c>
      <c r="P118" s="6">
        <v>0.99929999999999997</v>
      </c>
      <c r="Q118" s="6">
        <v>0.99929999999999997</v>
      </c>
      <c r="R118">
        <v>0</v>
      </c>
      <c r="S118">
        <v>0.05</v>
      </c>
      <c r="T118" s="7">
        <v>0</v>
      </c>
      <c r="U118" s="7">
        <v>0</v>
      </c>
      <c r="V118" s="7">
        <v>0</v>
      </c>
      <c r="W118" s="7">
        <v>0</v>
      </c>
      <c r="X118" s="6">
        <v>0.52669999999999995</v>
      </c>
      <c r="Y118" s="6">
        <v>0.35749999999999998</v>
      </c>
      <c r="Z118" s="4">
        <v>-9.9600000000000009</v>
      </c>
      <c r="AA118" s="4">
        <v>-98.34</v>
      </c>
      <c r="AB118" s="6">
        <v>0.99970000000000003</v>
      </c>
      <c r="AD118" s="3">
        <v>1</v>
      </c>
      <c r="AE118" s="6">
        <v>1.8E-3</v>
      </c>
      <c r="AF118" s="6">
        <v>3.0999999999999999E-3</v>
      </c>
      <c r="AG118" s="7">
        <v>0</v>
      </c>
      <c r="AH118" s="7">
        <v>0</v>
      </c>
      <c r="AI118" s="7">
        <v>20</v>
      </c>
      <c r="AJ118" s="3">
        <v>1</v>
      </c>
      <c r="AK118" s="7">
        <v>789501600</v>
      </c>
      <c r="AL118" s="5">
        <v>45.833500000000001</v>
      </c>
      <c r="AM118" s="5">
        <v>204.38130000000001</v>
      </c>
      <c r="AN118" s="5">
        <v>953.05589999999995</v>
      </c>
    </row>
    <row r="119" spans="1:40" ht="16.5" x14ac:dyDescent="0.45">
      <c r="A119" s="1" t="s">
        <v>74</v>
      </c>
      <c r="B119" s="1" t="s">
        <v>75</v>
      </c>
      <c r="C119" s="1" t="s">
        <v>41</v>
      </c>
      <c r="D119" s="1" t="s">
        <v>50</v>
      </c>
      <c r="E119" s="1" t="s">
        <v>51</v>
      </c>
      <c r="F119" s="1" t="s">
        <v>50</v>
      </c>
      <c r="G119" s="1" t="s">
        <v>51</v>
      </c>
      <c r="H119" s="1" t="s">
        <v>56</v>
      </c>
      <c r="I119" s="1" t="s">
        <v>57</v>
      </c>
      <c r="J119" s="1">
        <f t="shared" si="1"/>
        <v>100</v>
      </c>
      <c r="K119" s="3">
        <v>1</v>
      </c>
      <c r="L119" s="4">
        <v>23.36</v>
      </c>
      <c r="M119" s="5">
        <v>4.7442000000000002</v>
      </c>
      <c r="N119">
        <v>99.91</v>
      </c>
      <c r="O119">
        <v>99.81</v>
      </c>
      <c r="P119" s="6">
        <v>0.99819999999999998</v>
      </c>
      <c r="Q119" s="6">
        <v>0.99819999999999998</v>
      </c>
      <c r="R119">
        <v>0.09</v>
      </c>
      <c r="S119">
        <v>6.9999999999999993E-2</v>
      </c>
      <c r="T119" s="7">
        <v>0</v>
      </c>
      <c r="U119" s="7">
        <v>0</v>
      </c>
      <c r="V119" s="7">
        <v>0</v>
      </c>
      <c r="W119" s="7">
        <v>0</v>
      </c>
      <c r="X119" s="6">
        <v>0.56079999999999997</v>
      </c>
      <c r="Y119" s="6">
        <v>0.27050000000000002</v>
      </c>
      <c r="Z119" s="4">
        <v>-9.15</v>
      </c>
      <c r="AA119" s="4">
        <v>-97.37</v>
      </c>
      <c r="AB119" s="6">
        <v>0.99970000000000003</v>
      </c>
      <c r="AD119" s="6">
        <v>0.88890000000000002</v>
      </c>
      <c r="AE119" s="6">
        <v>3.3E-3</v>
      </c>
      <c r="AF119" s="6">
        <v>1.0999999999999999E-2</v>
      </c>
      <c r="AG119" s="7">
        <v>0</v>
      </c>
      <c r="AH119" s="7">
        <v>0</v>
      </c>
      <c r="AI119" s="7">
        <v>10</v>
      </c>
      <c r="AJ119" s="3">
        <v>1</v>
      </c>
      <c r="AK119" s="7">
        <v>789501600</v>
      </c>
      <c r="AL119" s="5">
        <v>37.848300000000002</v>
      </c>
      <c r="AM119" s="5">
        <v>190.62799999999999</v>
      </c>
      <c r="AN119" s="5">
        <v>1117.1876999999999</v>
      </c>
    </row>
    <row r="120" spans="1:40" ht="16.5" x14ac:dyDescent="0.45">
      <c r="A120" s="1" t="s">
        <v>74</v>
      </c>
      <c r="B120" s="1" t="s">
        <v>75</v>
      </c>
      <c r="C120" s="1" t="s">
        <v>41</v>
      </c>
      <c r="D120" s="1" t="s">
        <v>50</v>
      </c>
      <c r="E120" s="1" t="s">
        <v>51</v>
      </c>
      <c r="F120" s="1" t="s">
        <v>50</v>
      </c>
      <c r="G120" s="1" t="s">
        <v>51</v>
      </c>
      <c r="H120" s="1" t="s">
        <v>58</v>
      </c>
      <c r="I120" s="1" t="s">
        <v>59</v>
      </c>
      <c r="J120" s="1">
        <f t="shared" si="1"/>
        <v>100</v>
      </c>
      <c r="K120" s="3">
        <v>1</v>
      </c>
      <c r="L120" s="4">
        <v>24.08</v>
      </c>
      <c r="M120" s="5">
        <v>5.3045</v>
      </c>
      <c r="N120">
        <v>100</v>
      </c>
      <c r="O120">
        <v>99.9</v>
      </c>
      <c r="P120" s="6">
        <v>0.999</v>
      </c>
      <c r="Q120" s="6">
        <v>0.99909999999999999</v>
      </c>
      <c r="R120">
        <v>0</v>
      </c>
      <c r="S120">
        <v>0.04</v>
      </c>
      <c r="T120" s="7">
        <v>0</v>
      </c>
      <c r="U120" s="7">
        <v>0</v>
      </c>
      <c r="V120" s="7">
        <v>0</v>
      </c>
      <c r="W120" s="7">
        <v>0</v>
      </c>
      <c r="X120" s="6">
        <v>0.50960000000000005</v>
      </c>
      <c r="Y120" s="6">
        <v>0.32990000000000003</v>
      </c>
      <c r="Z120" s="4">
        <v>-9.83</v>
      </c>
      <c r="AA120" s="4">
        <v>-101.45</v>
      </c>
      <c r="AB120" s="6">
        <v>0.99990000000000001</v>
      </c>
      <c r="AD120" s="3">
        <v>0.5</v>
      </c>
      <c r="AE120" s="6">
        <v>1E-3</v>
      </c>
      <c r="AF120" s="6">
        <v>2.0000000000000001E-4</v>
      </c>
      <c r="AG120" s="7">
        <v>0</v>
      </c>
      <c r="AH120" s="7">
        <v>0</v>
      </c>
      <c r="AI120" s="7">
        <v>27</v>
      </c>
      <c r="AJ120" s="3">
        <v>1</v>
      </c>
      <c r="AK120" s="7">
        <v>789501600</v>
      </c>
      <c r="AL120" s="5">
        <v>44.346699999999998</v>
      </c>
      <c r="AM120" s="5">
        <v>214.51169999999999</v>
      </c>
      <c r="AN120" s="5">
        <v>1267.2192</v>
      </c>
    </row>
    <row r="121" spans="1:40" ht="16.5" x14ac:dyDescent="0.45">
      <c r="A121" s="1" t="s">
        <v>75</v>
      </c>
      <c r="B121" s="1" t="s">
        <v>76</v>
      </c>
      <c r="C121" s="1" t="s">
        <v>41</v>
      </c>
      <c r="D121" s="1" t="s">
        <v>42</v>
      </c>
      <c r="E121" s="1" t="s">
        <v>43</v>
      </c>
      <c r="F121" s="1" t="s">
        <v>42</v>
      </c>
      <c r="G121" s="1" t="s">
        <v>43</v>
      </c>
      <c r="H121" s="1" t="s">
        <v>44</v>
      </c>
      <c r="I121" s="1" t="s">
        <v>45</v>
      </c>
      <c r="J121" s="1">
        <f t="shared" si="1"/>
        <v>100</v>
      </c>
      <c r="K121" s="3">
        <v>1</v>
      </c>
      <c r="L121" s="4">
        <v>6.46</v>
      </c>
      <c r="M121" s="5">
        <v>1.6031</v>
      </c>
      <c r="N121">
        <v>100</v>
      </c>
      <c r="O121">
        <v>99.9</v>
      </c>
      <c r="P121" s="6">
        <v>0.999</v>
      </c>
      <c r="Q121" s="6">
        <v>0.999</v>
      </c>
      <c r="R121">
        <v>0</v>
      </c>
      <c r="S121">
        <v>0.02</v>
      </c>
      <c r="T121" s="7">
        <v>0</v>
      </c>
      <c r="U121" s="7">
        <v>0</v>
      </c>
      <c r="V121" s="7">
        <v>0</v>
      </c>
      <c r="W121" s="7">
        <v>0</v>
      </c>
      <c r="X121" s="6">
        <v>0.19020000000000001</v>
      </c>
      <c r="Y121" s="6">
        <v>0.10340000000000001</v>
      </c>
      <c r="Z121" s="4">
        <v>-7.01</v>
      </c>
      <c r="AA121" s="4">
        <v>-100.72</v>
      </c>
      <c r="AB121" s="6">
        <v>0.99970000000000003</v>
      </c>
      <c r="AD121" s="3">
        <v>1</v>
      </c>
      <c r="AE121" s="6">
        <v>1.9E-3</v>
      </c>
      <c r="AF121" s="6">
        <v>1.34E-2</v>
      </c>
      <c r="AG121" s="7">
        <v>0</v>
      </c>
      <c r="AH121" s="7">
        <v>0</v>
      </c>
      <c r="AI121" s="7">
        <v>6</v>
      </c>
      <c r="AJ121" s="6">
        <v>0.99980000000000002</v>
      </c>
      <c r="AK121" s="7">
        <v>789501600</v>
      </c>
      <c r="AL121" s="5">
        <v>18.700099999999999</v>
      </c>
      <c r="AM121" s="5">
        <v>117.91419999999999</v>
      </c>
      <c r="AN121" s="5">
        <v>338.58710000000002</v>
      </c>
    </row>
    <row r="122" spans="1:40" ht="16.5" x14ac:dyDescent="0.45">
      <c r="A122" s="1" t="s">
        <v>75</v>
      </c>
      <c r="B122" s="1" t="s">
        <v>76</v>
      </c>
      <c r="C122" s="1" t="s">
        <v>41</v>
      </c>
      <c r="D122" s="1" t="s">
        <v>42</v>
      </c>
      <c r="E122" s="1" t="s">
        <v>43</v>
      </c>
      <c r="F122" s="1" t="s">
        <v>42</v>
      </c>
      <c r="G122" s="1" t="s">
        <v>43</v>
      </c>
      <c r="H122" s="1" t="s">
        <v>46</v>
      </c>
      <c r="I122" s="1" t="s">
        <v>47</v>
      </c>
      <c r="J122" s="1">
        <f t="shared" si="1"/>
        <v>100</v>
      </c>
      <c r="K122" s="3">
        <v>1</v>
      </c>
      <c r="L122" s="4">
        <v>7.09</v>
      </c>
      <c r="M122" s="5">
        <v>2.3856000000000002</v>
      </c>
      <c r="N122">
        <v>100</v>
      </c>
      <c r="O122">
        <v>99.850000000000009</v>
      </c>
      <c r="P122" s="6">
        <v>0.99850000000000005</v>
      </c>
      <c r="Q122" s="6">
        <v>0.99850000000000005</v>
      </c>
      <c r="R122">
        <v>0</v>
      </c>
      <c r="S122">
        <v>0.09</v>
      </c>
      <c r="T122" s="7">
        <v>0</v>
      </c>
      <c r="U122" s="7">
        <v>0</v>
      </c>
      <c r="V122" s="7">
        <v>0</v>
      </c>
      <c r="W122" s="7">
        <v>0</v>
      </c>
      <c r="X122" s="6">
        <v>0.2137</v>
      </c>
      <c r="Y122" s="6">
        <v>9.06E-2</v>
      </c>
      <c r="Z122" s="4">
        <v>-7.28</v>
      </c>
      <c r="AA122" s="4">
        <v>-101.55</v>
      </c>
      <c r="AB122" s="6">
        <v>0.99970000000000003</v>
      </c>
      <c r="AD122" s="3">
        <v>1</v>
      </c>
      <c r="AE122" s="6">
        <v>2.5999999999999999E-3</v>
      </c>
      <c r="AF122" s="6">
        <v>2.06E-2</v>
      </c>
      <c r="AG122" s="7">
        <v>0</v>
      </c>
      <c r="AH122" s="7">
        <v>0</v>
      </c>
      <c r="AI122" s="7">
        <v>18</v>
      </c>
      <c r="AJ122" s="6">
        <v>0.99980000000000002</v>
      </c>
      <c r="AK122" s="7">
        <v>789501600</v>
      </c>
      <c r="AL122" s="5">
        <v>18.278300000000002</v>
      </c>
      <c r="AM122" s="5">
        <v>100.3013</v>
      </c>
      <c r="AN122" s="5">
        <v>559.81730000000005</v>
      </c>
    </row>
    <row r="123" spans="1:40" ht="16.5" x14ac:dyDescent="0.45">
      <c r="A123" s="1" t="s">
        <v>75</v>
      </c>
      <c r="B123" s="1" t="s">
        <v>76</v>
      </c>
      <c r="C123" s="1" t="s">
        <v>41</v>
      </c>
      <c r="D123" s="1" t="s">
        <v>42</v>
      </c>
      <c r="E123" s="1" t="s">
        <v>43</v>
      </c>
      <c r="F123" s="1" t="s">
        <v>42</v>
      </c>
      <c r="G123" s="1" t="s">
        <v>43</v>
      </c>
      <c r="H123" s="1" t="s">
        <v>48</v>
      </c>
      <c r="I123" s="1" t="s">
        <v>49</v>
      </c>
      <c r="J123" s="1">
        <f t="shared" si="1"/>
        <v>100</v>
      </c>
      <c r="K123" s="3">
        <v>1</v>
      </c>
      <c r="L123" s="4">
        <v>5.73</v>
      </c>
      <c r="M123" s="5">
        <v>3.1570999999999998</v>
      </c>
      <c r="N123">
        <v>99.29</v>
      </c>
      <c r="O123">
        <v>99.91</v>
      </c>
      <c r="P123" s="6">
        <v>0.99909999999999999</v>
      </c>
      <c r="Q123" s="6">
        <v>0.99909999999999999</v>
      </c>
      <c r="R123">
        <v>0</v>
      </c>
      <c r="S123">
        <v>0.04</v>
      </c>
      <c r="T123" s="7">
        <v>0</v>
      </c>
      <c r="U123" s="7">
        <v>0</v>
      </c>
      <c r="V123" s="7">
        <v>0</v>
      </c>
      <c r="W123" s="7">
        <v>0</v>
      </c>
      <c r="X123" s="6">
        <v>0.30059999999999998</v>
      </c>
      <c r="Y123" s="6">
        <v>0.15859999999999999</v>
      </c>
      <c r="Z123" s="4">
        <v>-7.41</v>
      </c>
      <c r="AA123" s="4">
        <v>-99.85</v>
      </c>
      <c r="AB123" s="3">
        <v>1</v>
      </c>
      <c r="AC123" s="7">
        <v>50</v>
      </c>
      <c r="AD123" s="3">
        <v>0.75</v>
      </c>
      <c r="AE123" s="6">
        <v>2.3999999999999998E-3</v>
      </c>
      <c r="AF123" s="6">
        <v>8.6999999999999994E-3</v>
      </c>
      <c r="AG123" s="7">
        <v>0</v>
      </c>
      <c r="AH123" s="7">
        <v>0</v>
      </c>
      <c r="AI123" s="7">
        <v>13</v>
      </c>
      <c r="AJ123" s="3">
        <v>1</v>
      </c>
      <c r="AK123" s="7">
        <v>789501600</v>
      </c>
      <c r="AL123" s="5">
        <v>28.453299999999999</v>
      </c>
      <c r="AM123" s="5">
        <v>155.5668</v>
      </c>
      <c r="AN123" s="5">
        <v>719.02520000000004</v>
      </c>
    </row>
    <row r="124" spans="1:40" ht="16.5" x14ac:dyDescent="0.45">
      <c r="A124" s="1" t="s">
        <v>75</v>
      </c>
      <c r="B124" s="1" t="s">
        <v>76</v>
      </c>
      <c r="C124" s="1" t="s">
        <v>41</v>
      </c>
      <c r="D124" s="1" t="s">
        <v>50</v>
      </c>
      <c r="E124" s="1" t="s">
        <v>51</v>
      </c>
      <c r="F124" s="1" t="s">
        <v>50</v>
      </c>
      <c r="G124" s="1" t="s">
        <v>51</v>
      </c>
      <c r="H124" s="1" t="s">
        <v>52</v>
      </c>
      <c r="I124" s="1" t="s">
        <v>53</v>
      </c>
      <c r="J124" s="1">
        <f t="shared" si="1"/>
        <v>100</v>
      </c>
      <c r="K124" s="3">
        <v>1</v>
      </c>
      <c r="L124" s="4">
        <v>12.58</v>
      </c>
      <c r="M124" s="5">
        <v>4.9939</v>
      </c>
      <c r="N124">
        <v>100</v>
      </c>
      <c r="O124">
        <v>99.929999999999993</v>
      </c>
      <c r="P124" s="6">
        <v>0.99929999999999997</v>
      </c>
      <c r="Q124" s="6">
        <v>0.99929999999999997</v>
      </c>
      <c r="R124">
        <v>0</v>
      </c>
      <c r="S124">
        <v>0.03</v>
      </c>
      <c r="T124" s="7">
        <v>0</v>
      </c>
      <c r="U124" s="7">
        <v>0</v>
      </c>
      <c r="V124" s="7">
        <v>0</v>
      </c>
      <c r="W124" s="7">
        <v>0</v>
      </c>
      <c r="X124" s="6">
        <v>0.41799999999999998</v>
      </c>
      <c r="Y124" s="6">
        <v>0.51849999999999996</v>
      </c>
      <c r="Z124" s="4">
        <v>-10.02</v>
      </c>
      <c r="AA124" s="4">
        <v>-95.33</v>
      </c>
      <c r="AB124" s="6">
        <v>0.99990000000000001</v>
      </c>
      <c r="AD124" s="3">
        <v>1</v>
      </c>
      <c r="AE124" s="6">
        <v>3.0000000000000001E-3</v>
      </c>
      <c r="AF124" s="6">
        <v>1.3599999999999999E-2</v>
      </c>
      <c r="AG124" s="7">
        <v>0</v>
      </c>
      <c r="AH124" s="7">
        <v>0</v>
      </c>
      <c r="AI124" s="7">
        <v>32</v>
      </c>
      <c r="AJ124" s="6">
        <v>0.99990000000000001</v>
      </c>
      <c r="AK124" s="7">
        <v>789501600</v>
      </c>
      <c r="AL124" s="5">
        <v>54.293399999999998</v>
      </c>
      <c r="AM124" s="5">
        <v>227.7715</v>
      </c>
      <c r="AN124" s="5">
        <v>1180.8163999999999</v>
      </c>
    </row>
    <row r="125" spans="1:40" ht="16.5" x14ac:dyDescent="0.45">
      <c r="A125" s="1" t="s">
        <v>75</v>
      </c>
      <c r="B125" s="1" t="s">
        <v>76</v>
      </c>
      <c r="C125" s="1" t="s">
        <v>41</v>
      </c>
      <c r="D125" s="1" t="s">
        <v>50</v>
      </c>
      <c r="E125" s="1" t="s">
        <v>51</v>
      </c>
      <c r="F125" s="1" t="s">
        <v>50</v>
      </c>
      <c r="G125" s="1" t="s">
        <v>51</v>
      </c>
      <c r="H125" s="1" t="s">
        <v>54</v>
      </c>
      <c r="I125" s="1" t="s">
        <v>55</v>
      </c>
      <c r="J125" s="1">
        <f t="shared" si="1"/>
        <v>100</v>
      </c>
      <c r="K125" s="3">
        <v>1</v>
      </c>
      <c r="L125" s="4">
        <v>6.34</v>
      </c>
      <c r="M125" s="5">
        <v>3.069</v>
      </c>
      <c r="N125">
        <v>99.7</v>
      </c>
      <c r="O125">
        <v>99.929999999999993</v>
      </c>
      <c r="P125" s="6">
        <v>0.99919999999999998</v>
      </c>
      <c r="Q125" s="6">
        <v>0.99919999999999998</v>
      </c>
      <c r="R125">
        <v>0.32</v>
      </c>
      <c r="S125">
        <v>0.02</v>
      </c>
      <c r="T125" s="7">
        <v>0</v>
      </c>
      <c r="U125" s="7">
        <v>0</v>
      </c>
      <c r="V125" s="7">
        <v>0</v>
      </c>
      <c r="W125" s="7">
        <v>0</v>
      </c>
      <c r="X125" s="6">
        <v>0.44280000000000003</v>
      </c>
      <c r="Y125" s="6">
        <v>0.2465</v>
      </c>
      <c r="Z125" s="4">
        <v>-9.4499999999999993</v>
      </c>
      <c r="AA125" s="4">
        <v>-100.23</v>
      </c>
      <c r="AB125" s="6">
        <v>0.99980000000000002</v>
      </c>
      <c r="AD125" s="3">
        <v>1</v>
      </c>
      <c r="AE125" s="6">
        <v>5.0000000000000001E-3</v>
      </c>
      <c r="AF125" s="6">
        <v>1.7299999999999999E-2</v>
      </c>
      <c r="AG125" s="7">
        <v>0</v>
      </c>
      <c r="AH125" s="7">
        <v>0</v>
      </c>
      <c r="AI125" s="7">
        <v>12</v>
      </c>
      <c r="AJ125" s="3">
        <v>1</v>
      </c>
      <c r="AK125" s="7">
        <v>789501600</v>
      </c>
      <c r="AL125" s="5">
        <v>29.29</v>
      </c>
      <c r="AM125" s="5">
        <v>129.72149999999999</v>
      </c>
      <c r="AN125" s="5">
        <v>718.44640000000004</v>
      </c>
    </row>
    <row r="126" spans="1:40" ht="16.5" x14ac:dyDescent="0.45">
      <c r="A126" s="1" t="s">
        <v>75</v>
      </c>
      <c r="B126" s="1" t="s">
        <v>76</v>
      </c>
      <c r="C126" s="1" t="s">
        <v>41</v>
      </c>
      <c r="D126" s="1" t="s">
        <v>50</v>
      </c>
      <c r="E126" s="1" t="s">
        <v>51</v>
      </c>
      <c r="F126" s="1" t="s">
        <v>50</v>
      </c>
      <c r="G126" s="1" t="s">
        <v>51</v>
      </c>
      <c r="H126" s="1" t="s">
        <v>56</v>
      </c>
      <c r="I126" s="1" t="s">
        <v>57</v>
      </c>
      <c r="J126" s="1">
        <f t="shared" si="1"/>
        <v>100</v>
      </c>
      <c r="K126" s="3">
        <v>1</v>
      </c>
      <c r="L126" s="4">
        <v>9.17</v>
      </c>
      <c r="M126" s="5">
        <v>2.5398999999999998</v>
      </c>
      <c r="N126">
        <v>100</v>
      </c>
      <c r="O126">
        <v>99.68</v>
      </c>
      <c r="P126" s="6">
        <v>0.99680000000000002</v>
      </c>
      <c r="Q126" s="6">
        <v>0.99690000000000001</v>
      </c>
      <c r="R126">
        <v>0</v>
      </c>
      <c r="S126">
        <v>0.16</v>
      </c>
      <c r="T126" s="7">
        <v>0</v>
      </c>
      <c r="U126" s="7">
        <v>0</v>
      </c>
      <c r="V126" s="7">
        <v>0</v>
      </c>
      <c r="W126" s="7">
        <v>0</v>
      </c>
      <c r="X126" s="6">
        <v>0.33460000000000001</v>
      </c>
      <c r="Y126" s="6">
        <v>0.20349999999999999</v>
      </c>
      <c r="Z126" s="4">
        <v>-6.99</v>
      </c>
      <c r="AA126" s="4">
        <v>-98.94</v>
      </c>
      <c r="AB126" s="6">
        <v>0.99909999999999999</v>
      </c>
      <c r="AD126" s="6">
        <v>0.71430000000000005</v>
      </c>
      <c r="AE126" s="6">
        <v>3.0999999999999999E-3</v>
      </c>
      <c r="AF126" s="6">
        <v>1.7600000000000001E-2</v>
      </c>
      <c r="AG126" s="7">
        <v>0</v>
      </c>
      <c r="AH126" s="7">
        <v>0</v>
      </c>
      <c r="AI126" s="7">
        <v>4</v>
      </c>
      <c r="AJ126" s="3">
        <v>1</v>
      </c>
      <c r="AK126" s="7">
        <v>789501600</v>
      </c>
      <c r="AL126" s="5">
        <v>21.978400000000001</v>
      </c>
      <c r="AM126" s="5">
        <v>91.507000000000005</v>
      </c>
      <c r="AN126" s="5">
        <v>596.84439999999995</v>
      </c>
    </row>
    <row r="127" spans="1:40" ht="16.5" x14ac:dyDescent="0.45">
      <c r="A127" s="1" t="s">
        <v>75</v>
      </c>
      <c r="B127" s="1" t="s">
        <v>76</v>
      </c>
      <c r="C127" s="1" t="s">
        <v>41</v>
      </c>
      <c r="D127" s="1" t="s">
        <v>50</v>
      </c>
      <c r="E127" s="1" t="s">
        <v>51</v>
      </c>
      <c r="F127" s="1" t="s">
        <v>50</v>
      </c>
      <c r="G127" s="1" t="s">
        <v>51</v>
      </c>
      <c r="H127" s="1" t="s">
        <v>58</v>
      </c>
      <c r="I127" s="1" t="s">
        <v>59</v>
      </c>
      <c r="J127" s="1">
        <f t="shared" si="1"/>
        <v>100</v>
      </c>
      <c r="K127" s="3">
        <v>1</v>
      </c>
      <c r="L127" s="4">
        <v>11.12</v>
      </c>
      <c r="M127" s="5">
        <v>2.7753000000000001</v>
      </c>
      <c r="N127">
        <v>100</v>
      </c>
      <c r="O127">
        <v>99.92</v>
      </c>
      <c r="P127" s="6">
        <v>0.99919999999999998</v>
      </c>
      <c r="Q127" s="6">
        <v>0.99919999999999998</v>
      </c>
      <c r="R127">
        <v>0</v>
      </c>
      <c r="S127">
        <v>0.06</v>
      </c>
      <c r="T127" s="7">
        <v>0</v>
      </c>
      <c r="U127" s="7">
        <v>0</v>
      </c>
      <c r="V127" s="7">
        <v>0</v>
      </c>
      <c r="W127" s="7">
        <v>0</v>
      </c>
      <c r="X127" s="6">
        <v>0.29430000000000001</v>
      </c>
      <c r="Y127" s="6">
        <v>0.27329999999999999</v>
      </c>
      <c r="Z127" s="4">
        <v>-7.08</v>
      </c>
      <c r="AA127" s="4">
        <v>-101.58</v>
      </c>
      <c r="AB127" s="6">
        <v>0.99950000000000006</v>
      </c>
      <c r="AD127" s="3">
        <v>1</v>
      </c>
      <c r="AE127" s="6">
        <v>1.6999999999999999E-3</v>
      </c>
      <c r="AF127" s="6">
        <v>7.9000000000000008E-3</v>
      </c>
      <c r="AG127" s="7">
        <v>0</v>
      </c>
      <c r="AH127" s="7">
        <v>0</v>
      </c>
      <c r="AI127" s="7">
        <v>7</v>
      </c>
      <c r="AJ127" s="3">
        <v>1</v>
      </c>
      <c r="AK127" s="7">
        <v>789501600</v>
      </c>
      <c r="AL127" s="5">
        <v>28.636600000000001</v>
      </c>
      <c r="AM127" s="5">
        <v>121.1704</v>
      </c>
      <c r="AN127" s="5">
        <v>654.48450000000003</v>
      </c>
    </row>
    <row r="128" spans="1:40" ht="16.5" x14ac:dyDescent="0.45">
      <c r="A128" s="1" t="s">
        <v>76</v>
      </c>
      <c r="B128" s="1" t="s">
        <v>77</v>
      </c>
      <c r="C128" s="1" t="s">
        <v>41</v>
      </c>
      <c r="D128" s="1" t="s">
        <v>42</v>
      </c>
      <c r="E128" s="1" t="s">
        <v>43</v>
      </c>
      <c r="F128" s="1" t="s">
        <v>42</v>
      </c>
      <c r="G128" s="1" t="s">
        <v>43</v>
      </c>
      <c r="H128" s="1" t="s">
        <v>44</v>
      </c>
      <c r="I128" s="1" t="s">
        <v>45</v>
      </c>
      <c r="J128" s="1">
        <f t="shared" si="1"/>
        <v>100</v>
      </c>
      <c r="K128" s="3">
        <v>1</v>
      </c>
      <c r="L128" s="4">
        <v>2.35</v>
      </c>
      <c r="M128" s="5">
        <v>1.0989</v>
      </c>
      <c r="N128">
        <v>100</v>
      </c>
      <c r="O128">
        <v>99.92</v>
      </c>
      <c r="P128" s="6">
        <v>0.99919999999999998</v>
      </c>
      <c r="Q128" s="6">
        <v>0.99919999999999998</v>
      </c>
      <c r="R128">
        <v>0</v>
      </c>
      <c r="S128">
        <v>0.01</v>
      </c>
      <c r="T128" s="7">
        <v>0</v>
      </c>
      <c r="U128" s="7">
        <v>0</v>
      </c>
      <c r="V128" s="7">
        <v>0</v>
      </c>
      <c r="W128" s="7">
        <v>0</v>
      </c>
      <c r="X128" s="6">
        <v>0.13650000000000001</v>
      </c>
      <c r="Y128" s="6">
        <v>9.2700000000000005E-2</v>
      </c>
      <c r="Z128" s="4">
        <v>-5.55</v>
      </c>
      <c r="AA128" s="4">
        <v>-101.55</v>
      </c>
      <c r="AB128" s="6">
        <v>0.99970000000000003</v>
      </c>
      <c r="AD128" s="3">
        <v>1</v>
      </c>
      <c r="AE128" s="6">
        <v>3.8999999999999998E-3</v>
      </c>
      <c r="AF128" s="6">
        <v>2.92E-2</v>
      </c>
      <c r="AG128" s="7">
        <v>0</v>
      </c>
      <c r="AH128" s="7">
        <v>0</v>
      </c>
      <c r="AI128" s="7">
        <v>17</v>
      </c>
      <c r="AJ128" s="6">
        <v>0.99990000000000001</v>
      </c>
      <c r="AK128" s="7">
        <v>789501600</v>
      </c>
      <c r="AL128" s="5">
        <v>14.8734</v>
      </c>
      <c r="AM128" s="5">
        <v>49.5779</v>
      </c>
      <c r="AN128" s="5">
        <v>253.05359999999999</v>
      </c>
    </row>
    <row r="129" spans="1:40" ht="16.5" x14ac:dyDescent="0.45">
      <c r="A129" s="1" t="s">
        <v>76</v>
      </c>
      <c r="B129" s="1" t="s">
        <v>77</v>
      </c>
      <c r="C129" s="1" t="s">
        <v>41</v>
      </c>
      <c r="D129" s="1" t="s">
        <v>42</v>
      </c>
      <c r="E129" s="1" t="s">
        <v>43</v>
      </c>
      <c r="F129" s="1" t="s">
        <v>42</v>
      </c>
      <c r="G129" s="1" t="s">
        <v>43</v>
      </c>
      <c r="H129" s="1" t="s">
        <v>46</v>
      </c>
      <c r="I129" s="1" t="s">
        <v>47</v>
      </c>
      <c r="J129" s="1">
        <f t="shared" si="1"/>
        <v>100</v>
      </c>
      <c r="K129" s="3">
        <v>1</v>
      </c>
      <c r="L129" s="4">
        <v>3.02</v>
      </c>
      <c r="M129" s="5">
        <v>1.6449</v>
      </c>
      <c r="N129">
        <v>100</v>
      </c>
      <c r="O129">
        <v>99.550000000000011</v>
      </c>
      <c r="P129" s="6">
        <v>0.99550000000000005</v>
      </c>
      <c r="Q129" s="6">
        <v>0.99550000000000005</v>
      </c>
      <c r="R129">
        <v>0</v>
      </c>
      <c r="S129">
        <v>0.02</v>
      </c>
      <c r="T129" s="7">
        <v>0</v>
      </c>
      <c r="U129" s="7">
        <v>0</v>
      </c>
      <c r="V129" s="7">
        <v>0</v>
      </c>
      <c r="W129" s="7">
        <v>0</v>
      </c>
      <c r="X129" s="6">
        <v>0.13969999999999999</v>
      </c>
      <c r="Y129" s="6">
        <v>6.9599999999999995E-2</v>
      </c>
      <c r="Z129" s="4">
        <v>-5.95</v>
      </c>
      <c r="AA129" s="4">
        <v>-102.78</v>
      </c>
      <c r="AB129" s="6">
        <v>0.99990000000000001</v>
      </c>
      <c r="AD129" s="3">
        <v>1</v>
      </c>
      <c r="AE129" s="6">
        <v>1.6999999999999999E-3</v>
      </c>
      <c r="AF129" s="6">
        <v>1.77E-2</v>
      </c>
      <c r="AG129" s="7">
        <v>0</v>
      </c>
      <c r="AH129" s="7">
        <v>0</v>
      </c>
      <c r="AI129" s="7">
        <v>15</v>
      </c>
      <c r="AJ129" s="6">
        <v>0.99990000000000001</v>
      </c>
      <c r="AK129" s="7">
        <v>789501600</v>
      </c>
      <c r="AL129" s="5">
        <v>12.7866</v>
      </c>
      <c r="AM129" s="5">
        <v>61.266199999999998</v>
      </c>
      <c r="AN129" s="5">
        <v>393.20179999999999</v>
      </c>
    </row>
    <row r="130" spans="1:40" ht="16.5" x14ac:dyDescent="0.45">
      <c r="A130" s="1" t="s">
        <v>76</v>
      </c>
      <c r="B130" s="1" t="s">
        <v>77</v>
      </c>
      <c r="C130" s="1" t="s">
        <v>41</v>
      </c>
      <c r="D130" s="1" t="s">
        <v>42</v>
      </c>
      <c r="E130" s="1" t="s">
        <v>43</v>
      </c>
      <c r="F130" s="1" t="s">
        <v>42</v>
      </c>
      <c r="G130" s="1" t="s">
        <v>43</v>
      </c>
      <c r="H130" s="1" t="s">
        <v>48</v>
      </c>
      <c r="I130" s="1" t="s">
        <v>49</v>
      </c>
      <c r="J130" s="1">
        <f t="shared" si="1"/>
        <v>100</v>
      </c>
      <c r="K130" s="3">
        <v>1</v>
      </c>
      <c r="L130" s="4">
        <v>1.8</v>
      </c>
      <c r="M130" s="5">
        <v>2.2761999999999998</v>
      </c>
      <c r="N130">
        <v>100</v>
      </c>
      <c r="O130">
        <v>99.92</v>
      </c>
      <c r="P130" s="6">
        <v>0.99919999999999998</v>
      </c>
      <c r="Q130" s="6">
        <v>0.99929999999999997</v>
      </c>
      <c r="R130">
        <v>0</v>
      </c>
      <c r="S130">
        <v>0.04</v>
      </c>
      <c r="T130" s="7">
        <v>0</v>
      </c>
      <c r="U130" s="7">
        <v>0</v>
      </c>
      <c r="V130" s="7">
        <v>0</v>
      </c>
      <c r="W130" s="7">
        <v>0</v>
      </c>
      <c r="X130" s="6">
        <v>0.20100000000000001</v>
      </c>
      <c r="Y130" s="6">
        <v>0.12670000000000001</v>
      </c>
      <c r="Z130" s="4">
        <v>-5.65</v>
      </c>
      <c r="AA130" s="4">
        <v>-100.86</v>
      </c>
      <c r="AB130" s="6">
        <v>0.99960000000000004</v>
      </c>
      <c r="AC130" s="7">
        <v>100</v>
      </c>
      <c r="AD130" s="6">
        <v>0.85709999999999997</v>
      </c>
      <c r="AE130" s="6">
        <v>3.3999999999999998E-3</v>
      </c>
      <c r="AF130" s="6">
        <v>1.7100000000000001E-2</v>
      </c>
      <c r="AG130" s="7">
        <v>0</v>
      </c>
      <c r="AH130" s="7">
        <v>0</v>
      </c>
      <c r="AI130" s="7">
        <v>10</v>
      </c>
      <c r="AJ130" s="3">
        <v>1</v>
      </c>
      <c r="AK130" s="7">
        <v>789501600</v>
      </c>
      <c r="AL130" s="5">
        <v>17.6067</v>
      </c>
      <c r="AM130" s="5">
        <v>59.711100000000002</v>
      </c>
      <c r="AN130" s="5">
        <v>568.38549999999998</v>
      </c>
    </row>
    <row r="131" spans="1:40" ht="16.5" x14ac:dyDescent="0.45">
      <c r="A131" s="1" t="s">
        <v>76</v>
      </c>
      <c r="B131" s="1" t="s">
        <v>77</v>
      </c>
      <c r="C131" s="1" t="s">
        <v>41</v>
      </c>
      <c r="D131" s="1" t="s">
        <v>50</v>
      </c>
      <c r="E131" s="1" t="s">
        <v>51</v>
      </c>
      <c r="F131" s="1" t="s">
        <v>50</v>
      </c>
      <c r="G131" s="1" t="s">
        <v>51</v>
      </c>
      <c r="H131" s="1" t="s">
        <v>52</v>
      </c>
      <c r="I131" s="1" t="s">
        <v>53</v>
      </c>
      <c r="J131" s="1">
        <f t="shared" ref="J131:J194" si="2">K131*100</f>
        <v>100</v>
      </c>
      <c r="K131" s="3">
        <v>1</v>
      </c>
      <c r="L131" s="4">
        <v>5.07</v>
      </c>
      <c r="M131" s="5">
        <v>4.0609999999999999</v>
      </c>
      <c r="N131">
        <v>99.79</v>
      </c>
      <c r="O131">
        <v>99.92</v>
      </c>
      <c r="P131" s="6">
        <v>0.99919999999999998</v>
      </c>
      <c r="Q131" s="6">
        <v>0.99919999999999998</v>
      </c>
      <c r="R131">
        <v>0</v>
      </c>
      <c r="S131">
        <v>0.02</v>
      </c>
      <c r="T131" s="7">
        <v>0</v>
      </c>
      <c r="U131" s="7">
        <v>0</v>
      </c>
      <c r="V131" s="7">
        <v>0</v>
      </c>
      <c r="W131" s="7">
        <v>0</v>
      </c>
      <c r="X131" s="6">
        <v>0.30819999999999997</v>
      </c>
      <c r="Y131" s="6">
        <v>0.4294</v>
      </c>
      <c r="Z131" s="4">
        <v>-8.58</v>
      </c>
      <c r="AA131" s="4">
        <v>-96.42</v>
      </c>
      <c r="AB131" s="6">
        <v>0.99929999999999997</v>
      </c>
      <c r="AD131" s="3">
        <v>0.75</v>
      </c>
      <c r="AE131" s="6">
        <v>7.4000000000000003E-3</v>
      </c>
      <c r="AF131" s="6">
        <v>5.0999999999999997E-2</v>
      </c>
      <c r="AG131" s="7">
        <v>0</v>
      </c>
      <c r="AH131" s="7">
        <v>0</v>
      </c>
      <c r="AI131" s="7">
        <v>24</v>
      </c>
      <c r="AJ131" s="3">
        <v>1</v>
      </c>
      <c r="AK131" s="7">
        <v>789501600</v>
      </c>
      <c r="AL131" s="5">
        <v>36.909999999999997</v>
      </c>
      <c r="AM131" s="5">
        <v>138.95079999999999</v>
      </c>
      <c r="AN131" s="5">
        <v>997.09029999999996</v>
      </c>
    </row>
    <row r="132" spans="1:40" ht="16.5" x14ac:dyDescent="0.45">
      <c r="A132" s="1" t="s">
        <v>76</v>
      </c>
      <c r="B132" s="1" t="s">
        <v>77</v>
      </c>
      <c r="C132" s="1" t="s">
        <v>41</v>
      </c>
      <c r="D132" s="1" t="s">
        <v>50</v>
      </c>
      <c r="E132" s="1" t="s">
        <v>51</v>
      </c>
      <c r="F132" s="1" t="s">
        <v>50</v>
      </c>
      <c r="G132" s="1" t="s">
        <v>51</v>
      </c>
      <c r="H132" s="1" t="s">
        <v>54</v>
      </c>
      <c r="I132" s="1" t="s">
        <v>55</v>
      </c>
      <c r="J132" s="1">
        <f t="shared" si="2"/>
        <v>100</v>
      </c>
      <c r="K132" s="3">
        <v>1</v>
      </c>
      <c r="L132" s="7">
        <v>2</v>
      </c>
      <c r="M132" s="5">
        <v>2.8180999999999998</v>
      </c>
      <c r="N132">
        <v>100</v>
      </c>
      <c r="O132">
        <v>99.94</v>
      </c>
      <c r="P132" s="6">
        <v>0.99939999999999996</v>
      </c>
      <c r="Q132" s="6">
        <v>0.99929999999999997</v>
      </c>
      <c r="R132">
        <v>0</v>
      </c>
      <c r="S132">
        <v>0.01</v>
      </c>
      <c r="T132" s="7">
        <v>0</v>
      </c>
      <c r="U132" s="7">
        <v>0</v>
      </c>
      <c r="V132" s="7">
        <v>0</v>
      </c>
      <c r="W132" s="7">
        <v>0</v>
      </c>
      <c r="X132" s="6">
        <v>0.30070000000000002</v>
      </c>
      <c r="Y132" s="6">
        <v>0.16839999999999999</v>
      </c>
      <c r="Z132" s="4">
        <v>-8.0399999999999991</v>
      </c>
      <c r="AA132" s="4">
        <v>-101.59</v>
      </c>
      <c r="AB132" s="6">
        <v>0.99960000000000004</v>
      </c>
      <c r="AD132" s="3">
        <v>1</v>
      </c>
      <c r="AE132" s="6">
        <v>4.3E-3</v>
      </c>
      <c r="AF132" s="6">
        <v>2.53E-2</v>
      </c>
      <c r="AG132" s="7">
        <v>0</v>
      </c>
      <c r="AH132" s="7">
        <v>0</v>
      </c>
      <c r="AI132" s="7">
        <v>3</v>
      </c>
      <c r="AJ132" s="3">
        <v>1</v>
      </c>
      <c r="AK132" s="7">
        <v>789501600</v>
      </c>
      <c r="AL132" s="5">
        <v>20.581700000000001</v>
      </c>
      <c r="AM132" s="5">
        <v>106.2628</v>
      </c>
      <c r="AN132" s="5">
        <v>680.19269999999995</v>
      </c>
    </row>
    <row r="133" spans="1:40" ht="16.5" x14ac:dyDescent="0.45">
      <c r="A133" s="1" t="s">
        <v>76</v>
      </c>
      <c r="B133" s="1" t="s">
        <v>77</v>
      </c>
      <c r="C133" s="1" t="s">
        <v>41</v>
      </c>
      <c r="D133" s="1" t="s">
        <v>50</v>
      </c>
      <c r="E133" s="1" t="s">
        <v>51</v>
      </c>
      <c r="F133" s="1" t="s">
        <v>50</v>
      </c>
      <c r="G133" s="1" t="s">
        <v>51</v>
      </c>
      <c r="H133" s="1" t="s">
        <v>56</v>
      </c>
      <c r="I133" s="1" t="s">
        <v>57</v>
      </c>
      <c r="J133" s="1">
        <f t="shared" si="2"/>
        <v>100</v>
      </c>
      <c r="K133" s="3">
        <v>1</v>
      </c>
      <c r="L133" s="4">
        <v>6.34</v>
      </c>
      <c r="M133" s="5">
        <v>2.0857999999999999</v>
      </c>
      <c r="N133">
        <v>100</v>
      </c>
      <c r="O133">
        <v>99.51</v>
      </c>
      <c r="P133" s="6">
        <v>0.99509999999999998</v>
      </c>
      <c r="Q133" s="6">
        <v>0.99509999999999998</v>
      </c>
      <c r="R133">
        <v>0</v>
      </c>
      <c r="S133">
        <v>0.18</v>
      </c>
      <c r="T133" s="7">
        <v>0</v>
      </c>
      <c r="U133" s="7">
        <v>0</v>
      </c>
      <c r="V133" s="7">
        <v>0</v>
      </c>
      <c r="W133" s="7">
        <v>0</v>
      </c>
      <c r="X133" s="6">
        <v>0.253</v>
      </c>
      <c r="Y133" s="6">
        <v>0.16400000000000001</v>
      </c>
      <c r="Z133" s="4">
        <v>-5.92</v>
      </c>
      <c r="AA133" s="4">
        <v>-99.82</v>
      </c>
      <c r="AB133" s="6">
        <v>0.99980000000000002</v>
      </c>
      <c r="AD133" s="3">
        <v>0.8</v>
      </c>
      <c r="AE133" s="6">
        <v>4.1999999999999997E-3</v>
      </c>
      <c r="AF133" s="6">
        <v>3.5400000000000001E-2</v>
      </c>
      <c r="AG133" s="7">
        <v>0</v>
      </c>
      <c r="AH133" s="7">
        <v>0</v>
      </c>
      <c r="AI133" s="7">
        <v>3</v>
      </c>
      <c r="AJ133" s="3">
        <v>1</v>
      </c>
      <c r="AK133" s="7">
        <v>789501600</v>
      </c>
      <c r="AL133" s="5">
        <v>15.450100000000001</v>
      </c>
      <c r="AM133" s="5">
        <v>78.323899999999995</v>
      </c>
      <c r="AN133" s="5">
        <v>468.21620000000001</v>
      </c>
    </row>
    <row r="134" spans="1:40" ht="16.5" x14ac:dyDescent="0.45">
      <c r="A134" s="1" t="s">
        <v>76</v>
      </c>
      <c r="B134" s="1" t="s">
        <v>77</v>
      </c>
      <c r="C134" s="1" t="s">
        <v>41</v>
      </c>
      <c r="D134" s="1" t="s">
        <v>50</v>
      </c>
      <c r="E134" s="1" t="s">
        <v>51</v>
      </c>
      <c r="F134" s="1" t="s">
        <v>50</v>
      </c>
      <c r="G134" s="1" t="s">
        <v>51</v>
      </c>
      <c r="H134" s="1" t="s">
        <v>58</v>
      </c>
      <c r="I134" s="1" t="s">
        <v>59</v>
      </c>
      <c r="J134" s="1">
        <f t="shared" si="2"/>
        <v>100</v>
      </c>
      <c r="K134" s="3">
        <v>1</v>
      </c>
      <c r="L134" s="4">
        <v>2.6</v>
      </c>
      <c r="M134" s="5">
        <v>2.6991999999999998</v>
      </c>
      <c r="N134">
        <v>100</v>
      </c>
      <c r="O134">
        <v>99.929999999999993</v>
      </c>
      <c r="P134" s="6">
        <v>0.99929999999999997</v>
      </c>
      <c r="Q134" s="6">
        <v>0.99919999999999998</v>
      </c>
      <c r="R134">
        <v>0</v>
      </c>
      <c r="S134">
        <v>0.02</v>
      </c>
      <c r="T134" s="7">
        <v>0</v>
      </c>
      <c r="U134" s="7">
        <v>0</v>
      </c>
      <c r="V134" s="7">
        <v>0</v>
      </c>
      <c r="W134" s="7">
        <v>0</v>
      </c>
      <c r="X134" s="6">
        <v>0.191</v>
      </c>
      <c r="Y134" s="6">
        <v>0.2316</v>
      </c>
      <c r="Z134" s="4">
        <v>-5.42</v>
      </c>
      <c r="AA134" s="4">
        <v>-102.13</v>
      </c>
      <c r="AB134" s="6">
        <v>0.99929999999999997</v>
      </c>
      <c r="AD134" s="3">
        <v>1</v>
      </c>
      <c r="AE134" s="6">
        <v>7.1999999999999998E-3</v>
      </c>
      <c r="AF134" s="6">
        <v>4.1799999999999997E-2</v>
      </c>
      <c r="AG134" s="7">
        <v>0</v>
      </c>
      <c r="AH134" s="7">
        <v>0</v>
      </c>
      <c r="AI134" s="7">
        <v>7</v>
      </c>
      <c r="AJ134" s="3">
        <v>1</v>
      </c>
      <c r="AK134" s="7">
        <v>789501600</v>
      </c>
      <c r="AL134" s="5">
        <v>19.326699999999999</v>
      </c>
      <c r="AM134" s="5">
        <v>300.97579999999999</v>
      </c>
      <c r="AN134" s="5">
        <v>457.58629999999999</v>
      </c>
    </row>
    <row r="135" spans="1:40" ht="16.5" x14ac:dyDescent="0.45">
      <c r="A135" s="1" t="s">
        <v>77</v>
      </c>
      <c r="B135" s="1" t="s">
        <v>78</v>
      </c>
      <c r="C135" s="1" t="s">
        <v>41</v>
      </c>
      <c r="D135" s="1" t="s">
        <v>42</v>
      </c>
      <c r="E135" s="1" t="s">
        <v>43</v>
      </c>
      <c r="F135" s="1" t="s">
        <v>42</v>
      </c>
      <c r="G135" s="1" t="s">
        <v>43</v>
      </c>
      <c r="H135" s="1" t="s">
        <v>44</v>
      </c>
      <c r="I135" s="1" t="s">
        <v>45</v>
      </c>
      <c r="J135" s="1">
        <f t="shared" si="2"/>
        <v>100</v>
      </c>
      <c r="K135" s="3">
        <v>1</v>
      </c>
      <c r="L135" s="4">
        <v>1.8</v>
      </c>
      <c r="M135" s="5">
        <v>1.0078</v>
      </c>
      <c r="N135">
        <v>100</v>
      </c>
      <c r="O135">
        <v>99.9</v>
      </c>
      <c r="P135" s="6">
        <v>0.999</v>
      </c>
      <c r="Q135" s="6">
        <v>0.999</v>
      </c>
      <c r="R135">
        <v>0</v>
      </c>
      <c r="S135">
        <v>0.01</v>
      </c>
      <c r="T135" s="7">
        <v>0</v>
      </c>
      <c r="U135" s="7">
        <v>0</v>
      </c>
      <c r="V135" s="7">
        <v>0</v>
      </c>
      <c r="W135" s="7">
        <v>0</v>
      </c>
      <c r="X135" s="6">
        <v>0.1157</v>
      </c>
      <c r="Y135" s="6">
        <v>9.1800000000000007E-2</v>
      </c>
      <c r="Z135" s="4">
        <v>-4.79</v>
      </c>
      <c r="AA135" s="4">
        <v>-101.86</v>
      </c>
      <c r="AB135" s="3">
        <v>1</v>
      </c>
      <c r="AD135" s="3">
        <v>1</v>
      </c>
      <c r="AE135" s="6">
        <v>3.2000000000000002E-3</v>
      </c>
      <c r="AF135" s="6">
        <v>2.63E-2</v>
      </c>
      <c r="AG135" s="7">
        <v>0</v>
      </c>
      <c r="AH135" s="7">
        <v>0</v>
      </c>
      <c r="AI135" s="7">
        <v>9</v>
      </c>
      <c r="AJ135" s="3">
        <v>1</v>
      </c>
      <c r="AK135" s="7">
        <v>789501600</v>
      </c>
      <c r="AL135" s="5">
        <v>14.476699999999999</v>
      </c>
      <c r="AM135" s="5">
        <v>53.7883</v>
      </c>
      <c r="AN135" s="5">
        <v>229.04949999999999</v>
      </c>
    </row>
    <row r="136" spans="1:40" ht="16.5" x14ac:dyDescent="0.45">
      <c r="A136" s="1" t="s">
        <v>77</v>
      </c>
      <c r="B136" s="1" t="s">
        <v>78</v>
      </c>
      <c r="C136" s="1" t="s">
        <v>41</v>
      </c>
      <c r="D136" s="1" t="s">
        <v>42</v>
      </c>
      <c r="E136" s="1" t="s">
        <v>43</v>
      </c>
      <c r="F136" s="1" t="s">
        <v>42</v>
      </c>
      <c r="G136" s="1" t="s">
        <v>43</v>
      </c>
      <c r="H136" s="1" t="s">
        <v>46</v>
      </c>
      <c r="I136" s="1" t="s">
        <v>47</v>
      </c>
      <c r="J136" s="1">
        <f t="shared" si="2"/>
        <v>100</v>
      </c>
      <c r="K136" s="3">
        <v>1</v>
      </c>
      <c r="L136" s="4">
        <v>4.2300000000000004</v>
      </c>
      <c r="M136" s="5">
        <v>0.88439999999999996</v>
      </c>
      <c r="N136">
        <v>100</v>
      </c>
      <c r="O136">
        <v>99.8</v>
      </c>
      <c r="P136" s="6">
        <v>0.998</v>
      </c>
      <c r="Q136" s="6">
        <v>0.998</v>
      </c>
      <c r="R136">
        <v>0</v>
      </c>
      <c r="S136">
        <v>0</v>
      </c>
      <c r="T136" s="7">
        <v>0</v>
      </c>
      <c r="U136" s="7">
        <v>0</v>
      </c>
      <c r="V136" s="7">
        <v>0</v>
      </c>
      <c r="W136" s="7">
        <v>0</v>
      </c>
      <c r="X136" s="6">
        <v>0.10929999999999999</v>
      </c>
      <c r="Y136" s="6">
        <v>5.7500000000000002E-2</v>
      </c>
      <c r="Z136" s="4">
        <v>-5.23</v>
      </c>
      <c r="AA136" s="4">
        <v>-103.01</v>
      </c>
      <c r="AB136" s="3">
        <v>1</v>
      </c>
      <c r="AD136" s="3">
        <v>1</v>
      </c>
      <c r="AE136" s="6">
        <v>1.8E-3</v>
      </c>
      <c r="AF136" s="6">
        <v>1.52E-2</v>
      </c>
      <c r="AG136" s="7">
        <v>0</v>
      </c>
      <c r="AH136" s="7">
        <v>0</v>
      </c>
      <c r="AI136" s="7">
        <v>11</v>
      </c>
      <c r="AJ136" s="3">
        <v>1</v>
      </c>
      <c r="AK136" s="7">
        <v>789501600</v>
      </c>
      <c r="AL136" s="5">
        <v>10.2784</v>
      </c>
      <c r="AM136" s="5">
        <v>47.582700000000003</v>
      </c>
      <c r="AN136" s="5">
        <v>201.2106</v>
      </c>
    </row>
    <row r="137" spans="1:40" ht="16.5" x14ac:dyDescent="0.45">
      <c r="A137" s="1" t="s">
        <v>77</v>
      </c>
      <c r="B137" s="1" t="s">
        <v>78</v>
      </c>
      <c r="C137" s="1" t="s">
        <v>41</v>
      </c>
      <c r="D137" s="1" t="s">
        <v>42</v>
      </c>
      <c r="E137" s="1" t="s">
        <v>43</v>
      </c>
      <c r="F137" s="1" t="s">
        <v>42</v>
      </c>
      <c r="G137" s="1" t="s">
        <v>43</v>
      </c>
      <c r="H137" s="1" t="s">
        <v>48</v>
      </c>
      <c r="I137" s="1" t="s">
        <v>49</v>
      </c>
      <c r="J137" s="1">
        <f t="shared" si="2"/>
        <v>100</v>
      </c>
      <c r="K137" s="3">
        <v>1</v>
      </c>
      <c r="L137" s="4">
        <v>0.33</v>
      </c>
      <c r="M137" s="5">
        <v>0.90410000000000001</v>
      </c>
      <c r="N137">
        <v>100</v>
      </c>
      <c r="O137">
        <v>99.95</v>
      </c>
      <c r="P137" s="6">
        <v>0.99950000000000006</v>
      </c>
      <c r="Q137" s="6">
        <v>0.99950000000000006</v>
      </c>
      <c r="R137">
        <v>0</v>
      </c>
      <c r="S137">
        <v>0.01</v>
      </c>
      <c r="T137" s="7">
        <v>0</v>
      </c>
      <c r="U137" s="7">
        <v>0</v>
      </c>
      <c r="V137" s="7">
        <v>0</v>
      </c>
      <c r="W137" s="7">
        <v>0</v>
      </c>
      <c r="X137" s="6">
        <v>0.13139999999999999</v>
      </c>
      <c r="Y137" s="6">
        <v>0.1191</v>
      </c>
      <c r="Z137" s="4">
        <v>-4.7300000000000004</v>
      </c>
      <c r="AA137" s="4">
        <v>-100.94</v>
      </c>
      <c r="AB137" s="3">
        <v>1</v>
      </c>
      <c r="AD137" s="3">
        <v>1</v>
      </c>
      <c r="AE137" s="6">
        <v>4.0000000000000001E-3</v>
      </c>
      <c r="AF137" s="6">
        <v>2.1600000000000001E-2</v>
      </c>
      <c r="AG137" s="7">
        <v>0</v>
      </c>
      <c r="AH137" s="7">
        <v>0</v>
      </c>
      <c r="AI137" s="7">
        <v>5</v>
      </c>
      <c r="AJ137" s="3">
        <v>1</v>
      </c>
      <c r="AK137" s="7">
        <v>789501600</v>
      </c>
      <c r="AL137" s="5">
        <v>15.105</v>
      </c>
      <c r="AM137" s="5">
        <v>79.047799999999995</v>
      </c>
      <c r="AN137" s="5">
        <v>179.49250000000001</v>
      </c>
    </row>
    <row r="138" spans="1:40" ht="16.5" x14ac:dyDescent="0.45">
      <c r="A138" s="1" t="s">
        <v>77</v>
      </c>
      <c r="B138" s="1" t="s">
        <v>78</v>
      </c>
      <c r="C138" s="1" t="s">
        <v>41</v>
      </c>
      <c r="D138" s="1" t="s">
        <v>50</v>
      </c>
      <c r="E138" s="1" t="s">
        <v>51</v>
      </c>
      <c r="F138" s="1" t="s">
        <v>50</v>
      </c>
      <c r="G138" s="1" t="s">
        <v>51</v>
      </c>
      <c r="H138" s="1" t="s">
        <v>52</v>
      </c>
      <c r="I138" s="1" t="s">
        <v>53</v>
      </c>
      <c r="J138" s="1">
        <f t="shared" si="2"/>
        <v>100</v>
      </c>
      <c r="K138" s="3">
        <v>1</v>
      </c>
      <c r="L138" s="4">
        <v>3.4</v>
      </c>
      <c r="M138" s="5">
        <v>3.1118999999999999</v>
      </c>
      <c r="N138">
        <v>99.37</v>
      </c>
      <c r="O138">
        <v>99.850000000000009</v>
      </c>
      <c r="P138" s="6">
        <v>0.99850000000000005</v>
      </c>
      <c r="Q138" s="6">
        <v>0.99850000000000005</v>
      </c>
      <c r="R138">
        <v>0</v>
      </c>
      <c r="S138">
        <v>0.04</v>
      </c>
      <c r="T138" s="7">
        <v>0</v>
      </c>
      <c r="U138" s="7">
        <v>0</v>
      </c>
      <c r="V138" s="7">
        <v>0</v>
      </c>
      <c r="W138" s="7">
        <v>0</v>
      </c>
      <c r="X138" s="6">
        <v>0.2162</v>
      </c>
      <c r="Y138" s="6">
        <v>0.37959999999999999</v>
      </c>
      <c r="Z138" s="4">
        <v>-7.42</v>
      </c>
      <c r="AA138" s="4">
        <v>-96.35</v>
      </c>
      <c r="AB138" s="6">
        <v>0.99970000000000003</v>
      </c>
      <c r="AD138" s="3">
        <v>1</v>
      </c>
      <c r="AE138" s="6">
        <v>8.8000000000000005E-3</v>
      </c>
      <c r="AF138" s="6">
        <v>2.8000000000000001E-2</v>
      </c>
      <c r="AG138" s="7">
        <v>0</v>
      </c>
      <c r="AH138" s="7">
        <v>0</v>
      </c>
      <c r="AI138" s="7">
        <v>25</v>
      </c>
      <c r="AJ138" s="3">
        <v>1</v>
      </c>
      <c r="AK138" s="7">
        <v>789501600</v>
      </c>
      <c r="AL138" s="5">
        <v>31.288399999999999</v>
      </c>
      <c r="AM138" s="5">
        <v>158.90690000000001</v>
      </c>
      <c r="AN138" s="5">
        <v>705.73540000000003</v>
      </c>
    </row>
    <row r="139" spans="1:40" ht="16.5" x14ac:dyDescent="0.45">
      <c r="A139" s="1" t="s">
        <v>77</v>
      </c>
      <c r="B139" s="1" t="s">
        <v>78</v>
      </c>
      <c r="C139" s="1" t="s">
        <v>41</v>
      </c>
      <c r="D139" s="1" t="s">
        <v>50</v>
      </c>
      <c r="E139" s="1" t="s">
        <v>51</v>
      </c>
      <c r="F139" s="1" t="s">
        <v>50</v>
      </c>
      <c r="G139" s="1" t="s">
        <v>51</v>
      </c>
      <c r="H139" s="1" t="s">
        <v>54</v>
      </c>
      <c r="I139" s="1" t="s">
        <v>55</v>
      </c>
      <c r="J139" s="1">
        <f t="shared" si="2"/>
        <v>100</v>
      </c>
      <c r="K139" s="3">
        <v>1</v>
      </c>
      <c r="L139" s="4">
        <v>2.0299999999999998</v>
      </c>
      <c r="M139" s="5">
        <v>2.3237999999999999</v>
      </c>
      <c r="N139">
        <v>100</v>
      </c>
      <c r="O139">
        <v>99.95</v>
      </c>
      <c r="P139" s="6">
        <v>0.99950000000000006</v>
      </c>
      <c r="Q139" s="6">
        <v>0.99950000000000006</v>
      </c>
      <c r="R139">
        <v>0</v>
      </c>
      <c r="S139">
        <v>0.02</v>
      </c>
      <c r="T139" s="7">
        <v>0</v>
      </c>
      <c r="U139" s="7">
        <v>0</v>
      </c>
      <c r="V139" s="7">
        <v>0</v>
      </c>
      <c r="W139" s="7">
        <v>0</v>
      </c>
      <c r="X139" s="6">
        <v>0.23089999999999999</v>
      </c>
      <c r="Y139" s="6">
        <v>0.13930000000000001</v>
      </c>
      <c r="Z139" s="4">
        <v>-6.99</v>
      </c>
      <c r="AA139" s="4">
        <v>-102.09</v>
      </c>
      <c r="AB139" s="6">
        <v>0.99960000000000004</v>
      </c>
      <c r="AD139" s="3">
        <v>1</v>
      </c>
      <c r="AE139" s="6">
        <v>7.3000000000000001E-3</v>
      </c>
      <c r="AF139" s="6">
        <v>2.87E-2</v>
      </c>
      <c r="AG139" s="7">
        <v>0</v>
      </c>
      <c r="AH139" s="7">
        <v>0</v>
      </c>
      <c r="AI139" s="7">
        <v>10</v>
      </c>
      <c r="AJ139" s="3">
        <v>1</v>
      </c>
      <c r="AK139" s="7">
        <v>789501600</v>
      </c>
      <c r="AL139" s="5">
        <v>16.688300000000002</v>
      </c>
      <c r="AM139" s="5">
        <v>66.787499999999994</v>
      </c>
      <c r="AN139" s="5">
        <v>578.49760000000003</v>
      </c>
    </row>
    <row r="140" spans="1:40" ht="16.5" x14ac:dyDescent="0.45">
      <c r="A140" s="1" t="s">
        <v>77</v>
      </c>
      <c r="B140" s="1" t="s">
        <v>78</v>
      </c>
      <c r="C140" s="1" t="s">
        <v>41</v>
      </c>
      <c r="D140" s="1" t="s">
        <v>50</v>
      </c>
      <c r="E140" s="1" t="s">
        <v>51</v>
      </c>
      <c r="F140" s="1" t="s">
        <v>50</v>
      </c>
      <c r="G140" s="1" t="s">
        <v>51</v>
      </c>
      <c r="H140" s="1" t="s">
        <v>56</v>
      </c>
      <c r="I140" s="1" t="s">
        <v>57</v>
      </c>
      <c r="J140" s="1">
        <f t="shared" si="2"/>
        <v>100</v>
      </c>
      <c r="K140" s="3">
        <v>1</v>
      </c>
      <c r="L140" s="4">
        <v>1.84</v>
      </c>
      <c r="M140" s="5">
        <v>1.4574</v>
      </c>
      <c r="N140">
        <v>100</v>
      </c>
      <c r="O140">
        <v>99.11</v>
      </c>
      <c r="P140" s="6">
        <v>0.99109999999999998</v>
      </c>
      <c r="Q140" s="6">
        <v>0.99109999999999998</v>
      </c>
      <c r="R140">
        <v>0</v>
      </c>
      <c r="S140">
        <v>0.16</v>
      </c>
      <c r="T140" s="7">
        <v>0</v>
      </c>
      <c r="U140" s="7">
        <v>0</v>
      </c>
      <c r="V140" s="7">
        <v>0</v>
      </c>
      <c r="W140" s="7">
        <v>0</v>
      </c>
      <c r="X140" s="6">
        <v>0.18090000000000001</v>
      </c>
      <c r="Y140" s="6">
        <v>0.126</v>
      </c>
      <c r="Z140" s="4">
        <v>-4.92</v>
      </c>
      <c r="AA140" s="4">
        <v>-100.25</v>
      </c>
      <c r="AB140" s="6">
        <v>0.99990000000000001</v>
      </c>
      <c r="AD140" s="3">
        <v>1</v>
      </c>
      <c r="AE140" s="6">
        <v>5.1000000000000004E-3</v>
      </c>
      <c r="AF140" s="6">
        <v>1.9199999999999998E-2</v>
      </c>
      <c r="AG140" s="7">
        <v>0</v>
      </c>
      <c r="AH140" s="7">
        <v>0</v>
      </c>
      <c r="AI140" s="7">
        <v>6</v>
      </c>
      <c r="AJ140" s="3">
        <v>1</v>
      </c>
      <c r="AK140" s="7">
        <v>789501600</v>
      </c>
      <c r="AL140" s="5">
        <v>11.6967</v>
      </c>
      <c r="AM140" s="5">
        <v>48.4651</v>
      </c>
      <c r="AN140" s="5">
        <v>356.57909999999998</v>
      </c>
    </row>
    <row r="141" spans="1:40" ht="16.5" x14ac:dyDescent="0.45">
      <c r="A141" s="1" t="s">
        <v>77</v>
      </c>
      <c r="B141" s="1" t="s">
        <v>78</v>
      </c>
      <c r="C141" s="1" t="s">
        <v>41</v>
      </c>
      <c r="D141" s="1" t="s">
        <v>50</v>
      </c>
      <c r="E141" s="1" t="s">
        <v>51</v>
      </c>
      <c r="F141" s="1" t="s">
        <v>50</v>
      </c>
      <c r="G141" s="1" t="s">
        <v>51</v>
      </c>
      <c r="H141" s="1" t="s">
        <v>58</v>
      </c>
      <c r="I141" s="1" t="s">
        <v>59</v>
      </c>
      <c r="J141" s="1">
        <f t="shared" si="2"/>
        <v>100</v>
      </c>
      <c r="K141" s="3">
        <v>1</v>
      </c>
      <c r="L141" s="4">
        <v>3.04</v>
      </c>
      <c r="M141" s="5">
        <v>2.0712000000000002</v>
      </c>
      <c r="N141">
        <v>100</v>
      </c>
      <c r="O141">
        <v>99.94</v>
      </c>
      <c r="P141" s="6">
        <v>0.99939999999999996</v>
      </c>
      <c r="Q141" s="6">
        <v>0.99939999999999996</v>
      </c>
      <c r="R141">
        <v>0</v>
      </c>
      <c r="S141">
        <v>0.01</v>
      </c>
      <c r="T141" s="7">
        <v>0</v>
      </c>
      <c r="U141" s="7">
        <v>0</v>
      </c>
      <c r="V141" s="7">
        <v>0</v>
      </c>
      <c r="W141" s="7">
        <v>0</v>
      </c>
      <c r="X141" s="6">
        <v>0.17730000000000001</v>
      </c>
      <c r="Y141" s="6">
        <v>0.20280000000000001</v>
      </c>
      <c r="Z141" s="4">
        <v>-5.46</v>
      </c>
      <c r="AA141" s="4">
        <v>-102.44</v>
      </c>
      <c r="AB141" s="6">
        <v>0.99950000000000006</v>
      </c>
      <c r="AD141" s="3">
        <v>1</v>
      </c>
      <c r="AE141" s="6">
        <v>3.3999999999999998E-3</v>
      </c>
      <c r="AF141" s="6">
        <v>3.3599999999999998E-2</v>
      </c>
      <c r="AG141" s="7">
        <v>0</v>
      </c>
      <c r="AH141" s="7">
        <v>0</v>
      </c>
      <c r="AI141" s="7">
        <v>9</v>
      </c>
      <c r="AJ141" s="3">
        <v>1</v>
      </c>
      <c r="AK141" s="7">
        <v>789501600</v>
      </c>
      <c r="AL141" s="5">
        <v>18.901700000000002</v>
      </c>
      <c r="AM141" s="5">
        <v>101.9961</v>
      </c>
      <c r="AN141" s="5">
        <v>478.03969999999998</v>
      </c>
    </row>
    <row r="142" spans="1:40" ht="16.5" x14ac:dyDescent="0.45">
      <c r="A142" s="1" t="s">
        <v>78</v>
      </c>
      <c r="B142" s="1" t="s">
        <v>79</v>
      </c>
      <c r="C142" s="1" t="s">
        <v>41</v>
      </c>
      <c r="D142" s="1" t="s">
        <v>42</v>
      </c>
      <c r="E142" s="1" t="s">
        <v>43</v>
      </c>
      <c r="F142" s="1" t="s">
        <v>42</v>
      </c>
      <c r="G142" s="1" t="s">
        <v>43</v>
      </c>
      <c r="H142" s="1" t="s">
        <v>44</v>
      </c>
      <c r="I142" s="1" t="s">
        <v>45</v>
      </c>
      <c r="J142" s="1">
        <f t="shared" si="2"/>
        <v>100</v>
      </c>
      <c r="K142" s="3">
        <v>1</v>
      </c>
      <c r="L142" s="4">
        <v>0.95</v>
      </c>
      <c r="M142" s="5">
        <v>0.48699999999999999</v>
      </c>
      <c r="N142">
        <v>100</v>
      </c>
      <c r="O142">
        <v>99.74</v>
      </c>
      <c r="P142" s="6">
        <v>0.99739999999999995</v>
      </c>
      <c r="Q142" s="6">
        <v>0.99739999999999995</v>
      </c>
      <c r="R142">
        <v>0</v>
      </c>
      <c r="S142">
        <v>0.04</v>
      </c>
      <c r="T142" s="7">
        <v>0</v>
      </c>
      <c r="U142" s="7">
        <v>0</v>
      </c>
      <c r="V142" s="7">
        <v>0</v>
      </c>
      <c r="W142" s="7">
        <v>0</v>
      </c>
      <c r="X142" s="6">
        <v>9.0499999999999997E-2</v>
      </c>
      <c r="Y142" s="6">
        <v>8.6400000000000005E-2</v>
      </c>
      <c r="Z142" s="4">
        <v>-4.6399999999999997</v>
      </c>
      <c r="AA142" s="4">
        <v>-101.55</v>
      </c>
      <c r="AB142" s="6">
        <v>0.99960000000000004</v>
      </c>
      <c r="AD142" s="3">
        <v>1</v>
      </c>
      <c r="AE142" s="6">
        <v>1.9E-3</v>
      </c>
      <c r="AF142" s="6">
        <v>1.72E-2</v>
      </c>
      <c r="AG142" s="7">
        <v>0</v>
      </c>
      <c r="AH142" s="7">
        <v>0</v>
      </c>
      <c r="AI142" s="7">
        <v>17</v>
      </c>
      <c r="AJ142" s="3">
        <v>1</v>
      </c>
      <c r="AK142" s="7">
        <v>789501600</v>
      </c>
      <c r="AL142" s="5">
        <v>13.091699999999999</v>
      </c>
      <c r="AM142" s="5">
        <v>39.3401</v>
      </c>
      <c r="AN142" s="5">
        <v>96.828699999999998</v>
      </c>
    </row>
    <row r="143" spans="1:40" ht="16.5" x14ac:dyDescent="0.45">
      <c r="A143" s="1" t="s">
        <v>78</v>
      </c>
      <c r="B143" s="1" t="s">
        <v>79</v>
      </c>
      <c r="C143" s="1" t="s">
        <v>41</v>
      </c>
      <c r="D143" s="1" t="s">
        <v>42</v>
      </c>
      <c r="E143" s="1" t="s">
        <v>43</v>
      </c>
      <c r="F143" s="1" t="s">
        <v>42</v>
      </c>
      <c r="G143" s="1" t="s">
        <v>43</v>
      </c>
      <c r="H143" s="1" t="s">
        <v>46</v>
      </c>
      <c r="I143" s="1" t="s">
        <v>47</v>
      </c>
      <c r="J143" s="1">
        <f t="shared" si="2"/>
        <v>100</v>
      </c>
      <c r="K143" s="3">
        <v>1</v>
      </c>
      <c r="L143" s="4">
        <v>0.5</v>
      </c>
      <c r="M143" s="5">
        <v>0.76929999999999998</v>
      </c>
      <c r="N143">
        <v>100</v>
      </c>
      <c r="O143">
        <v>99.97</v>
      </c>
      <c r="P143" s="6">
        <v>0.99970000000000003</v>
      </c>
      <c r="Q143" s="6">
        <v>0.99970000000000003</v>
      </c>
      <c r="R143">
        <v>0</v>
      </c>
      <c r="S143">
        <v>0.01</v>
      </c>
      <c r="T143" s="7">
        <v>0</v>
      </c>
      <c r="U143" s="7">
        <v>0</v>
      </c>
      <c r="V143" s="7">
        <v>0</v>
      </c>
      <c r="W143" s="7">
        <v>0</v>
      </c>
      <c r="X143" s="6">
        <v>9.9500000000000005E-2</v>
      </c>
      <c r="Y143" s="6">
        <v>5.2600000000000001E-2</v>
      </c>
      <c r="Z143" s="4">
        <v>-4.99</v>
      </c>
      <c r="AA143" s="4">
        <v>-102.9</v>
      </c>
      <c r="AB143" s="6">
        <v>0.99929999999999997</v>
      </c>
      <c r="AD143" s="3">
        <v>1</v>
      </c>
      <c r="AE143" s="6">
        <v>2.3E-3</v>
      </c>
      <c r="AF143" s="6">
        <v>2.92E-2</v>
      </c>
      <c r="AG143" s="7">
        <v>0</v>
      </c>
      <c r="AH143" s="7">
        <v>0</v>
      </c>
      <c r="AI143" s="7">
        <v>1</v>
      </c>
      <c r="AJ143" s="3">
        <v>1</v>
      </c>
      <c r="AK143" s="7">
        <v>789501600</v>
      </c>
      <c r="AL143" s="5">
        <v>9.6199999999999992</v>
      </c>
      <c r="AM143" s="5">
        <v>44.173000000000002</v>
      </c>
      <c r="AN143" s="5">
        <v>177.88650000000001</v>
      </c>
    </row>
    <row r="144" spans="1:40" ht="16.5" x14ac:dyDescent="0.45">
      <c r="A144" s="1" t="s">
        <v>78</v>
      </c>
      <c r="B144" s="1" t="s">
        <v>79</v>
      </c>
      <c r="C144" s="1" t="s">
        <v>41</v>
      </c>
      <c r="D144" s="1" t="s">
        <v>42</v>
      </c>
      <c r="E144" s="1" t="s">
        <v>43</v>
      </c>
      <c r="F144" s="1" t="s">
        <v>42</v>
      </c>
      <c r="G144" s="1" t="s">
        <v>43</v>
      </c>
      <c r="H144" s="1" t="s">
        <v>48</v>
      </c>
      <c r="I144" s="1" t="s">
        <v>49</v>
      </c>
      <c r="J144" s="1">
        <f t="shared" si="2"/>
        <v>100</v>
      </c>
      <c r="K144" s="3">
        <v>1</v>
      </c>
      <c r="L144" s="4">
        <v>0.48</v>
      </c>
      <c r="M144" s="5">
        <v>0.46089999999999998</v>
      </c>
      <c r="N144">
        <v>100</v>
      </c>
      <c r="O144">
        <v>99.97</v>
      </c>
      <c r="P144" s="6">
        <v>0.99970000000000003</v>
      </c>
      <c r="Q144" s="6">
        <v>0.99970000000000003</v>
      </c>
      <c r="R144">
        <v>0</v>
      </c>
      <c r="S144">
        <v>0.01</v>
      </c>
      <c r="T144" s="7">
        <v>0</v>
      </c>
      <c r="U144" s="7">
        <v>0</v>
      </c>
      <c r="V144" s="7">
        <v>0</v>
      </c>
      <c r="W144" s="7">
        <v>0</v>
      </c>
      <c r="X144" s="6">
        <v>0.1055</v>
      </c>
      <c r="Y144" s="6">
        <v>9.8000000000000004E-2</v>
      </c>
      <c r="Z144" s="4">
        <v>-4.22</v>
      </c>
      <c r="AA144" s="4">
        <v>-101.09</v>
      </c>
      <c r="AB144" s="3">
        <v>1</v>
      </c>
      <c r="AD144" s="3">
        <v>1</v>
      </c>
      <c r="AE144" s="6">
        <v>3.3999999999999998E-3</v>
      </c>
      <c r="AF144" s="6">
        <v>1.0699999999999999E-2</v>
      </c>
      <c r="AG144" s="7">
        <v>0</v>
      </c>
      <c r="AH144" s="7">
        <v>0</v>
      </c>
      <c r="AI144" s="7">
        <v>4</v>
      </c>
      <c r="AJ144" s="3">
        <v>1</v>
      </c>
      <c r="AK144" s="7">
        <v>789501600</v>
      </c>
      <c r="AL144" s="5">
        <v>12.6416</v>
      </c>
      <c r="AM144" s="5">
        <v>32.629899999999999</v>
      </c>
      <c r="AN144" s="5">
        <v>85.643299999999996</v>
      </c>
    </row>
    <row r="145" spans="1:40" ht="16.5" x14ac:dyDescent="0.45">
      <c r="A145" s="1" t="s">
        <v>78</v>
      </c>
      <c r="B145" s="1" t="s">
        <v>79</v>
      </c>
      <c r="C145" s="1" t="s">
        <v>41</v>
      </c>
      <c r="D145" s="1" t="s">
        <v>50</v>
      </c>
      <c r="E145" s="1" t="s">
        <v>51</v>
      </c>
      <c r="F145" s="1" t="s">
        <v>50</v>
      </c>
      <c r="G145" s="1" t="s">
        <v>51</v>
      </c>
      <c r="H145" s="1" t="s">
        <v>52</v>
      </c>
      <c r="I145" s="1" t="s">
        <v>53</v>
      </c>
      <c r="J145" s="1">
        <f t="shared" si="2"/>
        <v>100</v>
      </c>
      <c r="K145" s="3">
        <v>1</v>
      </c>
      <c r="L145" s="4">
        <v>2.44</v>
      </c>
      <c r="M145" s="5">
        <v>2.0503999999999998</v>
      </c>
      <c r="N145">
        <v>100</v>
      </c>
      <c r="O145">
        <v>99.89</v>
      </c>
      <c r="P145" s="6">
        <v>0.99890000000000001</v>
      </c>
      <c r="Q145" s="6">
        <v>0.99890000000000001</v>
      </c>
      <c r="R145">
        <v>0</v>
      </c>
      <c r="S145">
        <v>0.02</v>
      </c>
      <c r="T145" s="7">
        <v>0</v>
      </c>
      <c r="U145" s="7">
        <v>0</v>
      </c>
      <c r="V145" s="7">
        <v>0</v>
      </c>
      <c r="W145" s="7">
        <v>0</v>
      </c>
      <c r="X145" s="6">
        <v>0.16289999999999999</v>
      </c>
      <c r="Y145" s="6">
        <v>0.373</v>
      </c>
      <c r="Z145" s="4">
        <v>-6.44</v>
      </c>
      <c r="AA145" s="4">
        <v>-96.4</v>
      </c>
      <c r="AB145" s="6">
        <v>0.99939999999999996</v>
      </c>
      <c r="AC145" s="7">
        <v>100</v>
      </c>
      <c r="AD145" s="3">
        <v>1</v>
      </c>
      <c r="AE145" s="6">
        <v>4.1000000000000003E-3</v>
      </c>
      <c r="AF145" s="6">
        <v>2.9499999999999998E-2</v>
      </c>
      <c r="AG145" s="7">
        <v>0</v>
      </c>
      <c r="AH145" s="7">
        <v>0</v>
      </c>
      <c r="AI145" s="7">
        <v>20</v>
      </c>
      <c r="AJ145" s="3">
        <v>1</v>
      </c>
      <c r="AK145" s="7">
        <v>789501600</v>
      </c>
      <c r="AL145" s="5">
        <v>26.664999999999999</v>
      </c>
      <c r="AM145" s="5">
        <v>116.63930000000001</v>
      </c>
      <c r="AN145" s="5">
        <v>470.71339999999998</v>
      </c>
    </row>
    <row r="146" spans="1:40" ht="16.5" x14ac:dyDescent="0.45">
      <c r="A146" s="1" t="s">
        <v>78</v>
      </c>
      <c r="B146" s="1" t="s">
        <v>79</v>
      </c>
      <c r="C146" s="1" t="s">
        <v>41</v>
      </c>
      <c r="D146" s="1" t="s">
        <v>50</v>
      </c>
      <c r="E146" s="1" t="s">
        <v>51</v>
      </c>
      <c r="F146" s="1" t="s">
        <v>50</v>
      </c>
      <c r="G146" s="1" t="s">
        <v>51</v>
      </c>
      <c r="H146" s="1" t="s">
        <v>54</v>
      </c>
      <c r="I146" s="1" t="s">
        <v>55</v>
      </c>
      <c r="J146" s="1">
        <f t="shared" si="2"/>
        <v>100</v>
      </c>
      <c r="K146" s="3">
        <v>1</v>
      </c>
      <c r="L146" s="4">
        <v>0.93</v>
      </c>
      <c r="M146" s="5">
        <v>1.3794999999999999</v>
      </c>
      <c r="N146">
        <v>99.050000000000011</v>
      </c>
      <c r="O146">
        <v>99.929999999999993</v>
      </c>
      <c r="P146" s="6">
        <v>0.99929999999999997</v>
      </c>
      <c r="Q146" s="6">
        <v>0.99929999999999997</v>
      </c>
      <c r="R146">
        <v>0</v>
      </c>
      <c r="S146">
        <v>6.9999999999999993E-2</v>
      </c>
      <c r="T146" s="7">
        <v>0</v>
      </c>
      <c r="U146" s="7">
        <v>0</v>
      </c>
      <c r="V146" s="7">
        <v>0</v>
      </c>
      <c r="W146" s="7">
        <v>0</v>
      </c>
      <c r="X146" s="6">
        <v>0.15390000000000001</v>
      </c>
      <c r="Y146" s="6">
        <v>0.1527</v>
      </c>
      <c r="Z146" s="4">
        <v>-5.9</v>
      </c>
      <c r="AA146" s="4">
        <v>-101.85</v>
      </c>
      <c r="AB146" s="6">
        <v>0.99980000000000002</v>
      </c>
      <c r="AD146" s="3">
        <v>1</v>
      </c>
      <c r="AE146" s="6">
        <v>5.7000000000000002E-3</v>
      </c>
      <c r="AF146" s="6">
        <v>1.8100000000000002E-2</v>
      </c>
      <c r="AG146" s="7">
        <v>0</v>
      </c>
      <c r="AH146" s="7">
        <v>0</v>
      </c>
      <c r="AI146" s="7">
        <v>9</v>
      </c>
      <c r="AJ146" s="3">
        <v>1</v>
      </c>
      <c r="AK146" s="7">
        <v>789501600</v>
      </c>
      <c r="AL146" s="5">
        <v>16.3583</v>
      </c>
      <c r="AM146" s="5">
        <v>89.314400000000006</v>
      </c>
      <c r="AN146" s="5">
        <v>292.49299999999999</v>
      </c>
    </row>
    <row r="147" spans="1:40" ht="16.5" x14ac:dyDescent="0.45">
      <c r="A147" s="1" t="s">
        <v>78</v>
      </c>
      <c r="B147" s="1" t="s">
        <v>79</v>
      </c>
      <c r="C147" s="1" t="s">
        <v>41</v>
      </c>
      <c r="D147" s="1" t="s">
        <v>50</v>
      </c>
      <c r="E147" s="1" t="s">
        <v>51</v>
      </c>
      <c r="F147" s="1" t="s">
        <v>50</v>
      </c>
      <c r="G147" s="1" t="s">
        <v>51</v>
      </c>
      <c r="H147" s="1" t="s">
        <v>56</v>
      </c>
      <c r="I147" s="1" t="s">
        <v>57</v>
      </c>
      <c r="J147" s="1">
        <f t="shared" si="2"/>
        <v>100</v>
      </c>
      <c r="K147" s="3">
        <v>1</v>
      </c>
      <c r="L147" s="4">
        <v>1.87</v>
      </c>
      <c r="M147" s="5">
        <v>1.2690999999999999</v>
      </c>
      <c r="N147">
        <v>100</v>
      </c>
      <c r="O147">
        <v>99.21</v>
      </c>
      <c r="P147" s="6">
        <v>0.99209999999999998</v>
      </c>
      <c r="Q147" s="6">
        <v>0.99209999999999998</v>
      </c>
      <c r="R147">
        <v>0</v>
      </c>
      <c r="S147">
        <v>0.12</v>
      </c>
      <c r="T147" s="7">
        <v>0</v>
      </c>
      <c r="U147" s="7">
        <v>0</v>
      </c>
      <c r="V147" s="7">
        <v>0</v>
      </c>
      <c r="W147" s="7">
        <v>0</v>
      </c>
      <c r="X147" s="6">
        <v>0.14760000000000001</v>
      </c>
      <c r="Y147" s="6">
        <v>0.12330000000000001</v>
      </c>
      <c r="Z147" s="4">
        <v>-4.3899999999999997</v>
      </c>
      <c r="AA147" s="4">
        <v>-100.3</v>
      </c>
      <c r="AB147" s="6">
        <v>0.99970000000000003</v>
      </c>
      <c r="AD147" s="3">
        <v>0.5</v>
      </c>
      <c r="AE147" s="6">
        <v>2.0999999999999999E-3</v>
      </c>
      <c r="AF147" s="6">
        <v>7.3000000000000001E-3</v>
      </c>
      <c r="AG147" s="7">
        <v>0</v>
      </c>
      <c r="AH147" s="7">
        <v>0</v>
      </c>
      <c r="AI147" s="7">
        <v>5</v>
      </c>
      <c r="AJ147" s="3">
        <v>1</v>
      </c>
      <c r="AK147" s="7">
        <v>789501600</v>
      </c>
      <c r="AL147" s="5">
        <v>11.9817</v>
      </c>
      <c r="AM147" s="5">
        <v>83.356300000000005</v>
      </c>
      <c r="AN147" s="5">
        <v>266.40969999999999</v>
      </c>
    </row>
    <row r="148" spans="1:40" ht="16.5" x14ac:dyDescent="0.45">
      <c r="A148" s="1" t="s">
        <v>78</v>
      </c>
      <c r="B148" s="1" t="s">
        <v>79</v>
      </c>
      <c r="C148" s="1" t="s">
        <v>41</v>
      </c>
      <c r="D148" s="1" t="s">
        <v>50</v>
      </c>
      <c r="E148" s="1" t="s">
        <v>51</v>
      </c>
      <c r="F148" s="1" t="s">
        <v>50</v>
      </c>
      <c r="G148" s="1" t="s">
        <v>51</v>
      </c>
      <c r="H148" s="1" t="s">
        <v>58</v>
      </c>
      <c r="I148" s="1" t="s">
        <v>59</v>
      </c>
      <c r="J148" s="1">
        <f t="shared" si="2"/>
        <v>100</v>
      </c>
      <c r="K148" s="3">
        <v>1</v>
      </c>
      <c r="L148" s="4">
        <v>0.65</v>
      </c>
      <c r="M148" s="5">
        <v>1.488</v>
      </c>
      <c r="N148">
        <v>100</v>
      </c>
      <c r="O148">
        <v>99.97</v>
      </c>
      <c r="P148" s="6">
        <v>0.99970000000000003</v>
      </c>
      <c r="Q148" s="6">
        <v>0.99980000000000002</v>
      </c>
      <c r="R148">
        <v>0</v>
      </c>
      <c r="S148">
        <v>0.03</v>
      </c>
      <c r="T148" s="7">
        <v>0</v>
      </c>
      <c r="U148" s="7">
        <v>0</v>
      </c>
      <c r="V148" s="7">
        <v>0</v>
      </c>
      <c r="W148" s="7">
        <v>0</v>
      </c>
      <c r="X148" s="6">
        <v>0.15670000000000001</v>
      </c>
      <c r="Y148" s="6">
        <v>0.21909999999999999</v>
      </c>
      <c r="Z148" s="4">
        <v>-4.5599999999999996</v>
      </c>
      <c r="AA148" s="4">
        <v>-102.44</v>
      </c>
      <c r="AB148" s="6">
        <v>0.99970000000000003</v>
      </c>
      <c r="AD148" s="3">
        <v>1</v>
      </c>
      <c r="AE148" s="6">
        <v>2.5000000000000001E-3</v>
      </c>
      <c r="AF148" s="6">
        <v>7.7999999999999996E-3</v>
      </c>
      <c r="AG148" s="7">
        <v>0</v>
      </c>
      <c r="AH148" s="7">
        <v>0</v>
      </c>
      <c r="AI148" s="7">
        <v>3</v>
      </c>
      <c r="AJ148" s="6">
        <v>0.99990000000000001</v>
      </c>
      <c r="AK148" s="7">
        <v>789501600</v>
      </c>
      <c r="AL148" s="5">
        <v>18.0334</v>
      </c>
      <c r="AM148" s="5">
        <v>59.252499999999998</v>
      </c>
      <c r="AN148" s="5">
        <v>358.27820000000003</v>
      </c>
    </row>
    <row r="149" spans="1:40" ht="16.5" x14ac:dyDescent="0.45">
      <c r="A149" s="1" t="s">
        <v>79</v>
      </c>
      <c r="B149" s="1" t="s">
        <v>80</v>
      </c>
      <c r="C149" s="1" t="s">
        <v>41</v>
      </c>
      <c r="D149" s="1" t="s">
        <v>42</v>
      </c>
      <c r="E149" s="1" t="s">
        <v>43</v>
      </c>
      <c r="F149" s="1" t="s">
        <v>42</v>
      </c>
      <c r="G149" s="1" t="s">
        <v>43</v>
      </c>
      <c r="H149" s="1" t="s">
        <v>44</v>
      </c>
      <c r="I149" s="1" t="s">
        <v>45</v>
      </c>
      <c r="J149" s="1">
        <f t="shared" si="2"/>
        <v>100</v>
      </c>
      <c r="K149" s="3">
        <v>1</v>
      </c>
      <c r="L149" s="4">
        <v>1.61</v>
      </c>
      <c r="M149" s="5">
        <v>1.6154999999999999</v>
      </c>
      <c r="N149">
        <v>100</v>
      </c>
      <c r="O149">
        <v>99.8</v>
      </c>
      <c r="P149" s="6">
        <v>0.998</v>
      </c>
      <c r="Q149" s="6">
        <v>0.99809999999999999</v>
      </c>
      <c r="R149">
        <v>0</v>
      </c>
      <c r="S149">
        <v>0.05</v>
      </c>
      <c r="T149" s="7">
        <v>0</v>
      </c>
      <c r="U149" s="7">
        <v>0</v>
      </c>
      <c r="V149" s="7">
        <v>0</v>
      </c>
      <c r="W149" s="7">
        <v>0</v>
      </c>
      <c r="X149" s="6">
        <v>0.13370000000000001</v>
      </c>
      <c r="Y149" s="6">
        <v>8.9700000000000002E-2</v>
      </c>
      <c r="Z149" s="4">
        <v>-5.15</v>
      </c>
      <c r="AA149" s="4">
        <v>-101.72</v>
      </c>
      <c r="AB149" s="6">
        <v>0.999</v>
      </c>
      <c r="AD149" s="3">
        <v>1</v>
      </c>
      <c r="AE149" s="6">
        <v>1.6999999999999999E-3</v>
      </c>
      <c r="AF149" s="6">
        <v>1.14E-2</v>
      </c>
      <c r="AG149" s="7">
        <v>0</v>
      </c>
      <c r="AH149" s="7">
        <v>0</v>
      </c>
      <c r="AI149" s="7">
        <v>10</v>
      </c>
      <c r="AJ149" s="3">
        <v>1</v>
      </c>
      <c r="AK149" s="7">
        <v>789501600</v>
      </c>
      <c r="AL149" s="5">
        <v>13.4933</v>
      </c>
      <c r="AM149" s="5">
        <v>61.176900000000003</v>
      </c>
      <c r="AN149" s="5">
        <v>370.4117</v>
      </c>
    </row>
    <row r="150" spans="1:40" ht="16.5" x14ac:dyDescent="0.45">
      <c r="A150" s="1" t="s">
        <v>79</v>
      </c>
      <c r="B150" s="1" t="s">
        <v>80</v>
      </c>
      <c r="C150" s="1" t="s">
        <v>41</v>
      </c>
      <c r="D150" s="1" t="s">
        <v>42</v>
      </c>
      <c r="E150" s="1" t="s">
        <v>43</v>
      </c>
      <c r="F150" s="1" t="s">
        <v>42</v>
      </c>
      <c r="G150" s="1" t="s">
        <v>43</v>
      </c>
      <c r="H150" s="1" t="s">
        <v>46</v>
      </c>
      <c r="I150" s="1" t="s">
        <v>47</v>
      </c>
      <c r="J150" s="1">
        <f t="shared" si="2"/>
        <v>100</v>
      </c>
      <c r="K150" s="3">
        <v>1</v>
      </c>
      <c r="L150" s="4">
        <v>0.52</v>
      </c>
      <c r="M150" s="5">
        <v>2.3308</v>
      </c>
      <c r="N150">
        <v>100</v>
      </c>
      <c r="O150">
        <v>99.9</v>
      </c>
      <c r="P150" s="6">
        <v>0.999</v>
      </c>
      <c r="Q150" s="6">
        <v>0.999</v>
      </c>
      <c r="R150">
        <v>0</v>
      </c>
      <c r="S150">
        <v>0.02</v>
      </c>
      <c r="T150" s="7">
        <v>0</v>
      </c>
      <c r="U150" s="7">
        <v>0</v>
      </c>
      <c r="V150" s="7">
        <v>0</v>
      </c>
      <c r="W150" s="7">
        <v>0</v>
      </c>
      <c r="X150" s="6">
        <v>0.1484</v>
      </c>
      <c r="Y150" s="6">
        <v>5.3100000000000001E-2</v>
      </c>
      <c r="Z150" s="4">
        <v>-6.23</v>
      </c>
      <c r="AA150" s="4">
        <v>-102.86</v>
      </c>
      <c r="AB150" s="6">
        <v>0.99980000000000002</v>
      </c>
      <c r="AD150" s="3">
        <v>0</v>
      </c>
      <c r="AE150" s="6">
        <v>3.8E-3</v>
      </c>
      <c r="AF150" s="6">
        <v>4.3E-3</v>
      </c>
      <c r="AG150" s="7">
        <v>0</v>
      </c>
      <c r="AH150" s="7">
        <v>0</v>
      </c>
      <c r="AI150" s="7">
        <v>9</v>
      </c>
      <c r="AJ150" s="3">
        <v>1</v>
      </c>
      <c r="AK150" s="7">
        <v>789501600</v>
      </c>
      <c r="AL150" s="5">
        <v>10.265000000000001</v>
      </c>
      <c r="AM150" s="5">
        <v>169.4786</v>
      </c>
      <c r="AN150" s="5">
        <v>484.32470000000001</v>
      </c>
    </row>
    <row r="151" spans="1:40" ht="16.5" x14ac:dyDescent="0.45">
      <c r="A151" s="1" t="s">
        <v>79</v>
      </c>
      <c r="B151" s="1" t="s">
        <v>80</v>
      </c>
      <c r="C151" s="1" t="s">
        <v>41</v>
      </c>
      <c r="D151" s="1" t="s">
        <v>42</v>
      </c>
      <c r="E151" s="1" t="s">
        <v>43</v>
      </c>
      <c r="F151" s="1" t="s">
        <v>42</v>
      </c>
      <c r="G151" s="1" t="s">
        <v>43</v>
      </c>
      <c r="H151" s="1" t="s">
        <v>48</v>
      </c>
      <c r="I151" s="1" t="s">
        <v>49</v>
      </c>
      <c r="J151" s="1">
        <f t="shared" si="2"/>
        <v>100</v>
      </c>
      <c r="K151" s="3">
        <v>1</v>
      </c>
      <c r="L151" s="4">
        <v>1.1200000000000001</v>
      </c>
      <c r="M151" s="5">
        <v>0.79900000000000004</v>
      </c>
      <c r="N151">
        <v>100</v>
      </c>
      <c r="O151">
        <v>99.88</v>
      </c>
      <c r="P151" s="6">
        <v>0.99880000000000002</v>
      </c>
      <c r="Q151" s="6">
        <v>0.99880000000000002</v>
      </c>
      <c r="R151">
        <v>0</v>
      </c>
      <c r="S151">
        <v>0.03</v>
      </c>
      <c r="T151" s="7">
        <v>0</v>
      </c>
      <c r="U151" s="7">
        <v>0</v>
      </c>
      <c r="V151" s="7">
        <v>0</v>
      </c>
      <c r="W151" s="7">
        <v>0</v>
      </c>
      <c r="X151" s="6">
        <v>0.12659999999999999</v>
      </c>
      <c r="Y151" s="6">
        <v>0.11219999999999999</v>
      </c>
      <c r="Z151" s="4">
        <v>-4.68</v>
      </c>
      <c r="AA151" s="4">
        <v>-101.16</v>
      </c>
      <c r="AB151" s="6">
        <v>0.99950000000000006</v>
      </c>
      <c r="AD151" s="3">
        <v>1</v>
      </c>
      <c r="AE151" s="6">
        <v>8.9999999999999998E-4</v>
      </c>
      <c r="AF151" s="6">
        <v>7.7000000000000002E-3</v>
      </c>
      <c r="AG151" s="7">
        <v>0</v>
      </c>
      <c r="AH151" s="7">
        <v>0</v>
      </c>
      <c r="AI151" s="7">
        <v>11</v>
      </c>
      <c r="AJ151" s="3">
        <v>1</v>
      </c>
      <c r="AK151" s="7">
        <v>789501600</v>
      </c>
      <c r="AL151" s="5">
        <v>14.0817</v>
      </c>
      <c r="AM151" s="5">
        <v>36.754899999999999</v>
      </c>
      <c r="AN151" s="5">
        <v>163.7321</v>
      </c>
    </row>
    <row r="152" spans="1:40" ht="16.5" x14ac:dyDescent="0.45">
      <c r="A152" s="1" t="s">
        <v>79</v>
      </c>
      <c r="B152" s="1" t="s">
        <v>80</v>
      </c>
      <c r="C152" s="1" t="s">
        <v>41</v>
      </c>
      <c r="D152" s="1" t="s">
        <v>50</v>
      </c>
      <c r="E152" s="1" t="s">
        <v>51</v>
      </c>
      <c r="F152" s="1" t="s">
        <v>50</v>
      </c>
      <c r="G152" s="1" t="s">
        <v>51</v>
      </c>
      <c r="H152" s="1" t="s">
        <v>52</v>
      </c>
      <c r="I152" s="1" t="s">
        <v>53</v>
      </c>
      <c r="J152" s="1">
        <f t="shared" si="2"/>
        <v>100</v>
      </c>
      <c r="K152" s="3">
        <v>1</v>
      </c>
      <c r="L152" s="4">
        <v>1.96</v>
      </c>
      <c r="M152" s="5">
        <v>1.7001999999999999</v>
      </c>
      <c r="N152">
        <v>99.570000000000007</v>
      </c>
      <c r="O152">
        <v>99.94</v>
      </c>
      <c r="P152" s="6">
        <v>0.99939999999999996</v>
      </c>
      <c r="Q152" s="6">
        <v>0.99939999999999996</v>
      </c>
      <c r="R152">
        <v>0</v>
      </c>
      <c r="S152">
        <v>0.03</v>
      </c>
      <c r="T152" s="7">
        <v>0</v>
      </c>
      <c r="U152" s="7">
        <v>0</v>
      </c>
      <c r="V152" s="7">
        <v>0</v>
      </c>
      <c r="W152" s="7">
        <v>0</v>
      </c>
      <c r="X152" s="6">
        <v>0.15890000000000001</v>
      </c>
      <c r="Y152" s="6">
        <v>0.37280000000000002</v>
      </c>
      <c r="Z152" s="4">
        <v>-6.25</v>
      </c>
      <c r="AA152" s="4">
        <v>-96.46</v>
      </c>
      <c r="AB152" s="6">
        <v>0.99960000000000004</v>
      </c>
      <c r="AD152" s="3">
        <v>1</v>
      </c>
      <c r="AE152" s="6">
        <v>6.7999999999999996E-3</v>
      </c>
      <c r="AF152" s="6">
        <v>1.77E-2</v>
      </c>
      <c r="AG152" s="7">
        <v>0</v>
      </c>
      <c r="AH152" s="7">
        <v>0</v>
      </c>
      <c r="AI152" s="7">
        <v>6</v>
      </c>
      <c r="AJ152" s="3">
        <v>1</v>
      </c>
      <c r="AK152" s="7">
        <v>789501600</v>
      </c>
      <c r="AL152" s="5">
        <v>26.996700000000001</v>
      </c>
      <c r="AM152" s="5">
        <v>97.006100000000004</v>
      </c>
      <c r="AN152" s="5">
        <v>385.27539999999999</v>
      </c>
    </row>
    <row r="153" spans="1:40" ht="16.5" x14ac:dyDescent="0.45">
      <c r="A153" s="1" t="s">
        <v>79</v>
      </c>
      <c r="B153" s="1" t="s">
        <v>80</v>
      </c>
      <c r="C153" s="1" t="s">
        <v>41</v>
      </c>
      <c r="D153" s="1" t="s">
        <v>50</v>
      </c>
      <c r="E153" s="1" t="s">
        <v>51</v>
      </c>
      <c r="F153" s="1" t="s">
        <v>50</v>
      </c>
      <c r="G153" s="1" t="s">
        <v>51</v>
      </c>
      <c r="H153" s="1" t="s">
        <v>54</v>
      </c>
      <c r="I153" s="1" t="s">
        <v>55</v>
      </c>
      <c r="J153" s="1">
        <f t="shared" si="2"/>
        <v>100</v>
      </c>
      <c r="K153" s="3">
        <v>1</v>
      </c>
      <c r="L153" s="4">
        <v>1.18</v>
      </c>
      <c r="M153" s="5">
        <v>1.9871000000000001</v>
      </c>
      <c r="N153">
        <v>100</v>
      </c>
      <c r="O153">
        <v>99.95</v>
      </c>
      <c r="P153" s="6">
        <v>0.99950000000000006</v>
      </c>
      <c r="Q153" s="6">
        <v>0.99950000000000006</v>
      </c>
      <c r="R153">
        <v>0</v>
      </c>
      <c r="S153">
        <v>0.04</v>
      </c>
      <c r="T153" s="7">
        <v>0</v>
      </c>
      <c r="U153" s="7">
        <v>0</v>
      </c>
      <c r="V153" s="7">
        <v>0</v>
      </c>
      <c r="W153" s="7">
        <v>0</v>
      </c>
      <c r="X153" s="6">
        <v>0.19420000000000001</v>
      </c>
      <c r="Y153" s="6">
        <v>0.1744</v>
      </c>
      <c r="Z153" s="4">
        <v>-6.31</v>
      </c>
      <c r="AA153" s="4">
        <v>-101.64</v>
      </c>
      <c r="AB153" s="6">
        <v>0.99990000000000001</v>
      </c>
      <c r="AD153" s="3">
        <v>1</v>
      </c>
      <c r="AE153" s="6">
        <v>3.3E-3</v>
      </c>
      <c r="AF153" s="6">
        <v>7.1000000000000004E-3</v>
      </c>
      <c r="AG153" s="7">
        <v>0</v>
      </c>
      <c r="AH153" s="7">
        <v>0</v>
      </c>
      <c r="AI153" s="7">
        <v>7</v>
      </c>
      <c r="AJ153" s="3">
        <v>1</v>
      </c>
      <c r="AK153" s="7">
        <v>789501600</v>
      </c>
      <c r="AL153" s="5">
        <v>19.781600000000001</v>
      </c>
      <c r="AM153" s="5">
        <v>163.9401</v>
      </c>
      <c r="AN153" s="5">
        <v>395.57499999999999</v>
      </c>
    </row>
    <row r="154" spans="1:40" ht="16.5" x14ac:dyDescent="0.45">
      <c r="A154" s="1" t="s">
        <v>79</v>
      </c>
      <c r="B154" s="1" t="s">
        <v>80</v>
      </c>
      <c r="C154" s="1" t="s">
        <v>41</v>
      </c>
      <c r="D154" s="1" t="s">
        <v>50</v>
      </c>
      <c r="E154" s="1" t="s">
        <v>51</v>
      </c>
      <c r="F154" s="1" t="s">
        <v>50</v>
      </c>
      <c r="G154" s="1" t="s">
        <v>51</v>
      </c>
      <c r="H154" s="1" t="s">
        <v>56</v>
      </c>
      <c r="I154" s="1" t="s">
        <v>57</v>
      </c>
      <c r="J154" s="1">
        <f t="shared" si="2"/>
        <v>100</v>
      </c>
      <c r="K154" s="3">
        <v>1</v>
      </c>
      <c r="L154" s="4">
        <v>3.94</v>
      </c>
      <c r="M154" s="5">
        <v>0.89559999999999995</v>
      </c>
      <c r="N154">
        <v>100</v>
      </c>
      <c r="O154">
        <v>99.009999999999991</v>
      </c>
      <c r="P154" s="3">
        <v>0.99</v>
      </c>
      <c r="Q154" s="3">
        <v>0.99</v>
      </c>
      <c r="R154">
        <v>0</v>
      </c>
      <c r="S154">
        <v>0.13999999999999999</v>
      </c>
      <c r="T154" s="7">
        <v>0</v>
      </c>
      <c r="U154" s="7">
        <v>0</v>
      </c>
      <c r="V154" s="7">
        <v>0</v>
      </c>
      <c r="W154" s="7">
        <v>0</v>
      </c>
      <c r="X154" s="6">
        <v>0.1226</v>
      </c>
      <c r="Y154" s="6">
        <v>0.1356</v>
      </c>
      <c r="Z154" s="4">
        <v>-4.01</v>
      </c>
      <c r="AA154" s="4">
        <v>-100.38</v>
      </c>
      <c r="AB154" s="6">
        <v>0.99990000000000001</v>
      </c>
      <c r="AD154" s="3">
        <v>1</v>
      </c>
      <c r="AE154" s="6">
        <v>1.8E-3</v>
      </c>
      <c r="AF154" s="6">
        <v>1.18E-2</v>
      </c>
      <c r="AG154" s="7">
        <v>0</v>
      </c>
      <c r="AH154" s="7">
        <v>0</v>
      </c>
      <c r="AI154" s="7">
        <v>2</v>
      </c>
      <c r="AJ154" s="3">
        <v>1</v>
      </c>
      <c r="AK154" s="7">
        <v>789501600</v>
      </c>
      <c r="AL154" s="5">
        <v>10.9566</v>
      </c>
      <c r="AM154" s="5">
        <v>44.843699999999998</v>
      </c>
      <c r="AN154" s="5">
        <v>208.62389999999999</v>
      </c>
    </row>
    <row r="155" spans="1:40" ht="16.5" x14ac:dyDescent="0.45">
      <c r="A155" s="1" t="s">
        <v>79</v>
      </c>
      <c r="B155" s="1" t="s">
        <v>80</v>
      </c>
      <c r="C155" s="1" t="s">
        <v>41</v>
      </c>
      <c r="D155" s="1" t="s">
        <v>50</v>
      </c>
      <c r="E155" s="1" t="s">
        <v>51</v>
      </c>
      <c r="F155" s="1" t="s">
        <v>50</v>
      </c>
      <c r="G155" s="1" t="s">
        <v>51</v>
      </c>
      <c r="H155" s="1" t="s">
        <v>58</v>
      </c>
      <c r="I155" s="1" t="s">
        <v>59</v>
      </c>
      <c r="J155" s="1">
        <f t="shared" si="2"/>
        <v>100</v>
      </c>
      <c r="K155" s="3">
        <v>1</v>
      </c>
      <c r="L155" s="4">
        <v>0.95</v>
      </c>
      <c r="M155" s="5">
        <v>0.88890000000000002</v>
      </c>
      <c r="N155">
        <v>100</v>
      </c>
      <c r="O155">
        <v>99.97</v>
      </c>
      <c r="P155" s="6">
        <v>0.99970000000000003</v>
      </c>
      <c r="Q155" s="6">
        <v>0.99970000000000003</v>
      </c>
      <c r="R155">
        <v>0</v>
      </c>
      <c r="S155">
        <v>0</v>
      </c>
      <c r="T155" s="7">
        <v>0</v>
      </c>
      <c r="U155" s="7">
        <v>0</v>
      </c>
      <c r="V155" s="7">
        <v>0</v>
      </c>
      <c r="W155" s="7">
        <v>0</v>
      </c>
      <c r="X155" s="6">
        <v>0.1095</v>
      </c>
      <c r="Y155" s="6">
        <v>0.2109</v>
      </c>
      <c r="Z155" s="4">
        <v>-3.91</v>
      </c>
      <c r="AA155" s="4">
        <v>-102.67</v>
      </c>
      <c r="AB155" s="6">
        <v>0.99939999999999996</v>
      </c>
      <c r="AD155" s="3">
        <v>1</v>
      </c>
      <c r="AE155" s="6">
        <v>4.4999999999999997E-3</v>
      </c>
      <c r="AF155" s="3">
        <v>0.04</v>
      </c>
      <c r="AG155" s="7">
        <v>0</v>
      </c>
      <c r="AH155" s="7">
        <v>0</v>
      </c>
      <c r="AI155" s="7">
        <v>0</v>
      </c>
      <c r="AJ155" s="3">
        <v>1</v>
      </c>
      <c r="AK155" s="7">
        <v>789501600</v>
      </c>
      <c r="AL155" s="5">
        <v>15.53</v>
      </c>
      <c r="AM155" s="5">
        <v>42.325400000000002</v>
      </c>
      <c r="AN155" s="5">
        <v>208.48699999999999</v>
      </c>
    </row>
    <row r="156" spans="1:40" ht="16.5" x14ac:dyDescent="0.45">
      <c r="A156" s="1" t="s">
        <v>80</v>
      </c>
      <c r="B156" s="1" t="s">
        <v>81</v>
      </c>
      <c r="C156" s="1" t="s">
        <v>41</v>
      </c>
      <c r="D156" s="1" t="s">
        <v>42</v>
      </c>
      <c r="E156" s="1" t="s">
        <v>43</v>
      </c>
      <c r="F156" s="1" t="s">
        <v>42</v>
      </c>
      <c r="G156" s="1" t="s">
        <v>43</v>
      </c>
      <c r="H156" s="1" t="s">
        <v>44</v>
      </c>
      <c r="I156" s="1" t="s">
        <v>45</v>
      </c>
      <c r="J156" s="1">
        <f t="shared" si="2"/>
        <v>100</v>
      </c>
      <c r="K156" s="3">
        <v>1</v>
      </c>
      <c r="L156" s="4">
        <v>2.12</v>
      </c>
      <c r="M156" s="5">
        <v>2.1383999999999999</v>
      </c>
      <c r="N156">
        <v>99.5</v>
      </c>
      <c r="O156">
        <v>99.94</v>
      </c>
      <c r="P156" s="6">
        <v>0.99939999999999996</v>
      </c>
      <c r="Q156" s="6">
        <v>0.99939999999999996</v>
      </c>
      <c r="R156">
        <v>0</v>
      </c>
      <c r="S156">
        <v>0.03</v>
      </c>
      <c r="T156" s="7">
        <v>0</v>
      </c>
      <c r="U156" s="7">
        <v>0</v>
      </c>
      <c r="V156" s="7">
        <v>0</v>
      </c>
      <c r="W156" s="7">
        <v>0</v>
      </c>
      <c r="X156" s="6">
        <v>0.2046</v>
      </c>
      <c r="Y156" s="6">
        <v>0.1263</v>
      </c>
      <c r="Z156" s="4">
        <v>-6.59</v>
      </c>
      <c r="AA156" s="4">
        <v>-101.69</v>
      </c>
      <c r="AB156" s="6">
        <v>0.99980000000000002</v>
      </c>
      <c r="AD156" s="3">
        <v>1</v>
      </c>
      <c r="AE156" s="6">
        <v>3.5000000000000001E-3</v>
      </c>
      <c r="AF156" s="6">
        <v>2.6800000000000001E-2</v>
      </c>
      <c r="AG156" s="7">
        <v>0</v>
      </c>
      <c r="AH156" s="7">
        <v>0</v>
      </c>
      <c r="AI156" s="7">
        <v>7</v>
      </c>
      <c r="AJ156" s="3">
        <v>1</v>
      </c>
      <c r="AK156" s="7">
        <v>789501600</v>
      </c>
      <c r="AL156" s="5">
        <v>19.675000000000001</v>
      </c>
      <c r="AM156" s="5">
        <v>74.611599999999996</v>
      </c>
      <c r="AN156" s="5">
        <v>506.3064</v>
      </c>
    </row>
    <row r="157" spans="1:40" ht="16.5" x14ac:dyDescent="0.45">
      <c r="A157" s="1" t="s">
        <v>80</v>
      </c>
      <c r="B157" s="1" t="s">
        <v>81</v>
      </c>
      <c r="C157" s="1" t="s">
        <v>41</v>
      </c>
      <c r="D157" s="1" t="s">
        <v>42</v>
      </c>
      <c r="E157" s="1" t="s">
        <v>43</v>
      </c>
      <c r="F157" s="1" t="s">
        <v>42</v>
      </c>
      <c r="G157" s="1" t="s">
        <v>43</v>
      </c>
      <c r="H157" s="1" t="s">
        <v>46</v>
      </c>
      <c r="I157" s="1" t="s">
        <v>47</v>
      </c>
      <c r="J157" s="1">
        <f t="shared" si="2"/>
        <v>100</v>
      </c>
      <c r="K157" s="3">
        <v>1</v>
      </c>
      <c r="L157" s="4">
        <v>1.0900000000000001</v>
      </c>
      <c r="M157" s="5">
        <v>0.93840000000000001</v>
      </c>
      <c r="N157">
        <v>100</v>
      </c>
      <c r="O157">
        <v>99.47</v>
      </c>
      <c r="P157" s="6">
        <v>0.99470000000000003</v>
      </c>
      <c r="Q157" s="6">
        <v>0.995</v>
      </c>
      <c r="R157">
        <v>0</v>
      </c>
      <c r="S157">
        <v>6.9999999999999993E-2</v>
      </c>
      <c r="T157" s="7">
        <v>0</v>
      </c>
      <c r="U157" s="7">
        <v>0</v>
      </c>
      <c r="V157" s="7">
        <v>0</v>
      </c>
      <c r="W157" s="7">
        <v>0</v>
      </c>
      <c r="X157" s="6">
        <v>0.1258</v>
      </c>
      <c r="Y157" s="6">
        <v>6.0999999999999999E-2</v>
      </c>
      <c r="Z157" s="4">
        <v>-6.23</v>
      </c>
      <c r="AA157" s="4">
        <v>-103.31</v>
      </c>
      <c r="AB157" s="6">
        <v>0.99980000000000002</v>
      </c>
      <c r="AD157" s="3">
        <v>1</v>
      </c>
      <c r="AE157" s="6">
        <v>2.5000000000000001E-3</v>
      </c>
      <c r="AF157" s="6">
        <v>3.4200000000000001E-2</v>
      </c>
      <c r="AG157" s="7">
        <v>0</v>
      </c>
      <c r="AH157" s="7">
        <v>0</v>
      </c>
      <c r="AI157" s="7">
        <v>30</v>
      </c>
      <c r="AJ157" s="3">
        <v>1</v>
      </c>
      <c r="AK157" s="7">
        <v>789501600</v>
      </c>
      <c r="AL157" s="5">
        <v>11.1416</v>
      </c>
      <c r="AM157" s="5">
        <v>41.717599999999997</v>
      </c>
      <c r="AN157" s="5">
        <v>217.25479999999999</v>
      </c>
    </row>
    <row r="158" spans="1:40" ht="16.5" x14ac:dyDescent="0.45">
      <c r="A158" s="1" t="s">
        <v>80</v>
      </c>
      <c r="B158" s="1" t="s">
        <v>81</v>
      </c>
      <c r="C158" s="1" t="s">
        <v>41</v>
      </c>
      <c r="D158" s="1" t="s">
        <v>42</v>
      </c>
      <c r="E158" s="1" t="s">
        <v>43</v>
      </c>
      <c r="F158" s="1" t="s">
        <v>42</v>
      </c>
      <c r="G158" s="1" t="s">
        <v>43</v>
      </c>
      <c r="H158" s="1" t="s">
        <v>48</v>
      </c>
      <c r="I158" s="1" t="s">
        <v>49</v>
      </c>
      <c r="J158" s="1">
        <f t="shared" si="2"/>
        <v>100</v>
      </c>
      <c r="K158" s="3">
        <v>1</v>
      </c>
      <c r="L158" s="4">
        <v>3.18</v>
      </c>
      <c r="M158" s="5">
        <v>2.3176999999999999</v>
      </c>
      <c r="N158">
        <v>99.56</v>
      </c>
      <c r="O158">
        <v>99.89</v>
      </c>
      <c r="P158" s="6">
        <v>0.99890000000000001</v>
      </c>
      <c r="Q158" s="6">
        <v>0.99890000000000001</v>
      </c>
      <c r="R158">
        <v>0</v>
      </c>
      <c r="S158">
        <v>0.04</v>
      </c>
      <c r="T158" s="7">
        <v>0</v>
      </c>
      <c r="U158" s="7">
        <v>0</v>
      </c>
      <c r="V158" s="7">
        <v>0</v>
      </c>
      <c r="W158" s="7">
        <v>0</v>
      </c>
      <c r="X158" s="6">
        <v>0.26040000000000002</v>
      </c>
      <c r="Y158" s="6">
        <v>0.17430000000000001</v>
      </c>
      <c r="Z158" s="4">
        <v>-6.9</v>
      </c>
      <c r="AA158" s="4">
        <v>-100.79</v>
      </c>
      <c r="AB158" s="6">
        <v>0.99970000000000003</v>
      </c>
      <c r="AC158" s="7">
        <v>100</v>
      </c>
      <c r="AD158" s="3">
        <v>1</v>
      </c>
      <c r="AE158" s="6">
        <v>4.5999999999999999E-3</v>
      </c>
      <c r="AF158" s="6">
        <v>2.6700000000000002E-2</v>
      </c>
      <c r="AG158" s="7">
        <v>0</v>
      </c>
      <c r="AH158" s="7">
        <v>0</v>
      </c>
      <c r="AI158" s="7">
        <v>20</v>
      </c>
      <c r="AJ158" s="3">
        <v>1</v>
      </c>
      <c r="AK158" s="7">
        <v>789501600</v>
      </c>
      <c r="AL158" s="5">
        <v>23.184999999999999</v>
      </c>
      <c r="AM158" s="5">
        <v>85.358400000000003</v>
      </c>
      <c r="AN158" s="5">
        <v>545.95550000000003</v>
      </c>
    </row>
    <row r="159" spans="1:40" ht="16.5" x14ac:dyDescent="0.45">
      <c r="A159" s="1" t="s">
        <v>80</v>
      </c>
      <c r="B159" s="1" t="s">
        <v>81</v>
      </c>
      <c r="C159" s="1" t="s">
        <v>41</v>
      </c>
      <c r="D159" s="1" t="s">
        <v>50</v>
      </c>
      <c r="E159" s="1" t="s">
        <v>51</v>
      </c>
      <c r="F159" s="1" t="s">
        <v>50</v>
      </c>
      <c r="G159" s="1" t="s">
        <v>51</v>
      </c>
      <c r="H159" s="1" t="s">
        <v>52</v>
      </c>
      <c r="I159" s="1" t="s">
        <v>53</v>
      </c>
      <c r="J159" s="1">
        <f t="shared" si="2"/>
        <v>100</v>
      </c>
      <c r="K159" s="3">
        <v>1</v>
      </c>
      <c r="L159" s="4">
        <v>5.27</v>
      </c>
      <c r="M159" s="5">
        <v>2.8330000000000002</v>
      </c>
      <c r="N159">
        <v>99.61</v>
      </c>
      <c r="O159">
        <v>99.88</v>
      </c>
      <c r="P159" s="6">
        <v>0.99880000000000002</v>
      </c>
      <c r="Q159" s="6">
        <v>0.99880000000000002</v>
      </c>
      <c r="R159">
        <v>0</v>
      </c>
      <c r="S159">
        <v>0.05</v>
      </c>
      <c r="T159" s="7">
        <v>0</v>
      </c>
      <c r="U159" s="7">
        <v>0</v>
      </c>
      <c r="V159" s="7">
        <v>0</v>
      </c>
      <c r="W159" s="7">
        <v>0</v>
      </c>
      <c r="X159" s="6">
        <v>0.2319</v>
      </c>
      <c r="Y159" s="6">
        <v>0.36220000000000002</v>
      </c>
      <c r="Z159" s="4">
        <v>-7.98</v>
      </c>
      <c r="AA159" s="4">
        <v>-96.11</v>
      </c>
      <c r="AB159" s="6">
        <v>0.99919999999999998</v>
      </c>
      <c r="AD159" s="3">
        <v>1</v>
      </c>
      <c r="AE159" s="6">
        <v>6.7999999999999996E-3</v>
      </c>
      <c r="AF159" s="6">
        <v>3.1199999999999999E-2</v>
      </c>
      <c r="AG159" s="7">
        <v>0</v>
      </c>
      <c r="AH159" s="7">
        <v>0</v>
      </c>
      <c r="AI159" s="7">
        <v>35</v>
      </c>
      <c r="AJ159" s="3">
        <v>1</v>
      </c>
      <c r="AK159" s="7">
        <v>789501600</v>
      </c>
      <c r="AL159" s="5">
        <v>32.81</v>
      </c>
      <c r="AM159" s="5">
        <v>145.41390000000001</v>
      </c>
      <c r="AN159" s="5">
        <v>651.44799999999998</v>
      </c>
    </row>
    <row r="160" spans="1:40" ht="16.5" x14ac:dyDescent="0.45">
      <c r="A160" s="1" t="s">
        <v>80</v>
      </c>
      <c r="B160" s="1" t="s">
        <v>81</v>
      </c>
      <c r="C160" s="1" t="s">
        <v>41</v>
      </c>
      <c r="D160" s="1" t="s">
        <v>50</v>
      </c>
      <c r="E160" s="1" t="s">
        <v>51</v>
      </c>
      <c r="F160" s="1" t="s">
        <v>50</v>
      </c>
      <c r="G160" s="1" t="s">
        <v>51</v>
      </c>
      <c r="H160" s="1" t="s">
        <v>54</v>
      </c>
      <c r="I160" s="1" t="s">
        <v>55</v>
      </c>
      <c r="J160" s="1">
        <f t="shared" si="2"/>
        <v>100</v>
      </c>
      <c r="K160" s="3">
        <v>1</v>
      </c>
      <c r="L160" s="4">
        <v>2.87</v>
      </c>
      <c r="M160" s="5">
        <v>2.1857000000000002</v>
      </c>
      <c r="N160">
        <v>100</v>
      </c>
      <c r="O160">
        <v>99.97</v>
      </c>
      <c r="P160" s="6">
        <v>0.99970000000000003</v>
      </c>
      <c r="Q160" s="6">
        <v>0.99970000000000003</v>
      </c>
      <c r="R160">
        <v>0</v>
      </c>
      <c r="S160">
        <v>0.02</v>
      </c>
      <c r="T160" s="7">
        <v>0</v>
      </c>
      <c r="U160" s="7">
        <v>0</v>
      </c>
      <c r="V160" s="7">
        <v>0</v>
      </c>
      <c r="W160" s="7">
        <v>0</v>
      </c>
      <c r="X160" s="6">
        <v>0.27079999999999999</v>
      </c>
      <c r="Y160" s="6">
        <v>0.20810000000000001</v>
      </c>
      <c r="Z160" s="4">
        <v>-7.33</v>
      </c>
      <c r="AA160" s="4">
        <v>-101.69</v>
      </c>
      <c r="AB160" s="6">
        <v>0.99950000000000006</v>
      </c>
      <c r="AD160" s="3">
        <v>1</v>
      </c>
      <c r="AE160" s="6">
        <v>4.4000000000000003E-3</v>
      </c>
      <c r="AF160" s="6">
        <v>1.8200000000000001E-2</v>
      </c>
      <c r="AG160" s="7">
        <v>0</v>
      </c>
      <c r="AH160" s="7">
        <v>0</v>
      </c>
      <c r="AI160" s="7">
        <v>6</v>
      </c>
      <c r="AJ160" s="3">
        <v>1</v>
      </c>
      <c r="AK160" s="7">
        <v>789501600</v>
      </c>
      <c r="AL160" s="5">
        <v>22.8383</v>
      </c>
      <c r="AM160" s="5">
        <v>115.3728</v>
      </c>
      <c r="AN160" s="5">
        <v>498.66149999999999</v>
      </c>
    </row>
    <row r="161" spans="1:40" ht="16.5" x14ac:dyDescent="0.45">
      <c r="A161" s="1" t="s">
        <v>80</v>
      </c>
      <c r="B161" s="1" t="s">
        <v>81</v>
      </c>
      <c r="C161" s="1" t="s">
        <v>41</v>
      </c>
      <c r="D161" s="1" t="s">
        <v>50</v>
      </c>
      <c r="E161" s="1" t="s">
        <v>51</v>
      </c>
      <c r="F161" s="1" t="s">
        <v>50</v>
      </c>
      <c r="G161" s="1" t="s">
        <v>51</v>
      </c>
      <c r="H161" s="1" t="s">
        <v>56</v>
      </c>
      <c r="I161" s="1" t="s">
        <v>57</v>
      </c>
      <c r="J161" s="1">
        <f t="shared" si="2"/>
        <v>100</v>
      </c>
      <c r="K161" s="3">
        <v>1</v>
      </c>
      <c r="L161" s="4">
        <v>3.79</v>
      </c>
      <c r="M161" s="5">
        <v>1.5256000000000001</v>
      </c>
      <c r="N161">
        <v>99.68</v>
      </c>
      <c r="O161">
        <v>98.9</v>
      </c>
      <c r="P161" s="6">
        <v>0.98899999999999999</v>
      </c>
      <c r="Q161" s="6">
        <v>0.98899999999999999</v>
      </c>
      <c r="R161">
        <v>0</v>
      </c>
      <c r="S161">
        <v>0.13999999999999999</v>
      </c>
      <c r="T161" s="7">
        <v>0</v>
      </c>
      <c r="U161" s="7">
        <v>0</v>
      </c>
      <c r="V161" s="7">
        <v>0</v>
      </c>
      <c r="W161" s="7">
        <v>0</v>
      </c>
      <c r="X161" s="6">
        <v>0.18049999999999999</v>
      </c>
      <c r="Y161" s="6">
        <v>0.16789999999999999</v>
      </c>
      <c r="Z161" s="4">
        <v>-5.01</v>
      </c>
      <c r="AA161" s="4">
        <v>-99.97</v>
      </c>
      <c r="AB161" s="6">
        <v>0.99960000000000004</v>
      </c>
      <c r="AD161" s="3">
        <v>1</v>
      </c>
      <c r="AE161" s="6">
        <v>3.3E-3</v>
      </c>
      <c r="AF161" s="6">
        <v>3.2800000000000003E-2</v>
      </c>
      <c r="AG161" s="7">
        <v>0</v>
      </c>
      <c r="AH161" s="7">
        <v>0</v>
      </c>
      <c r="AI161" s="7">
        <v>12</v>
      </c>
      <c r="AJ161" s="3">
        <v>1</v>
      </c>
      <c r="AK161" s="7">
        <v>789501600</v>
      </c>
      <c r="AL161" s="5">
        <v>15.8634</v>
      </c>
      <c r="AM161" s="5">
        <v>77.328000000000003</v>
      </c>
      <c r="AN161" s="5">
        <v>336.52730000000003</v>
      </c>
    </row>
    <row r="162" spans="1:40" ht="16.5" x14ac:dyDescent="0.45">
      <c r="A162" s="1" t="s">
        <v>80</v>
      </c>
      <c r="B162" s="1" t="s">
        <v>81</v>
      </c>
      <c r="C162" s="1" t="s">
        <v>41</v>
      </c>
      <c r="D162" s="1" t="s">
        <v>50</v>
      </c>
      <c r="E162" s="1" t="s">
        <v>51</v>
      </c>
      <c r="F162" s="1" t="s">
        <v>50</v>
      </c>
      <c r="G162" s="1" t="s">
        <v>51</v>
      </c>
      <c r="H162" s="1" t="s">
        <v>58</v>
      </c>
      <c r="I162" s="1" t="s">
        <v>59</v>
      </c>
      <c r="J162" s="1">
        <f t="shared" si="2"/>
        <v>79.02</v>
      </c>
      <c r="K162" s="6">
        <v>0.79020000000000001</v>
      </c>
      <c r="L162" s="4">
        <v>1.72</v>
      </c>
      <c r="M162" s="5">
        <v>0.75270000000000004</v>
      </c>
      <c r="N162">
        <v>100</v>
      </c>
      <c r="O162">
        <v>99.960000000000008</v>
      </c>
      <c r="P162" s="6">
        <v>0.99960000000000004</v>
      </c>
      <c r="Q162" s="6">
        <v>0.99960000000000004</v>
      </c>
      <c r="R162">
        <v>0</v>
      </c>
      <c r="S162">
        <v>0.05</v>
      </c>
      <c r="T162" s="7">
        <v>0</v>
      </c>
      <c r="U162" s="7">
        <v>0</v>
      </c>
      <c r="V162" s="7">
        <v>0</v>
      </c>
      <c r="W162" s="7">
        <v>0</v>
      </c>
      <c r="X162" s="6">
        <v>0.1444</v>
      </c>
      <c r="Y162" s="6">
        <v>0.2072</v>
      </c>
      <c r="Z162" s="4">
        <v>-4.83</v>
      </c>
      <c r="AA162" s="4">
        <v>-102.67</v>
      </c>
      <c r="AB162" s="6">
        <v>0.99990000000000001</v>
      </c>
      <c r="AD162" s="3">
        <v>1</v>
      </c>
      <c r="AE162" s="6">
        <v>2.5000000000000001E-3</v>
      </c>
      <c r="AF162" s="6">
        <v>2.0199999999999999E-2</v>
      </c>
      <c r="AG162" s="7">
        <v>0</v>
      </c>
      <c r="AH162" s="7">
        <v>0</v>
      </c>
      <c r="AI162" s="7">
        <v>7</v>
      </c>
      <c r="AJ162" s="3">
        <v>1</v>
      </c>
      <c r="AK162" s="7">
        <v>789506132</v>
      </c>
      <c r="AL162" s="5">
        <v>14.0783</v>
      </c>
      <c r="AM162" s="5">
        <v>46.145800000000001</v>
      </c>
      <c r="AN162" s="5">
        <v>163.3553</v>
      </c>
    </row>
    <row r="163" spans="1:40" ht="16.5" x14ac:dyDescent="0.45">
      <c r="A163" s="1" t="s">
        <v>81</v>
      </c>
      <c r="B163" s="1" t="s">
        <v>82</v>
      </c>
      <c r="C163" s="1" t="s">
        <v>41</v>
      </c>
      <c r="D163" s="1" t="s">
        <v>42</v>
      </c>
      <c r="E163" s="1" t="s">
        <v>43</v>
      </c>
      <c r="F163" s="1" t="s">
        <v>42</v>
      </c>
      <c r="G163" s="1" t="s">
        <v>43</v>
      </c>
      <c r="H163" s="1" t="s">
        <v>44</v>
      </c>
      <c r="I163" s="1" t="s">
        <v>45</v>
      </c>
      <c r="J163" s="1">
        <f t="shared" si="2"/>
        <v>100</v>
      </c>
      <c r="K163" s="3">
        <v>1</v>
      </c>
      <c r="L163" s="4">
        <v>10.33</v>
      </c>
      <c r="M163" s="5">
        <v>2.3283999999999998</v>
      </c>
      <c r="N163">
        <v>99.72999999999999</v>
      </c>
      <c r="O163">
        <v>99.87</v>
      </c>
      <c r="P163" s="6">
        <v>0.99870000000000003</v>
      </c>
      <c r="Q163" s="6">
        <v>0.99880000000000002</v>
      </c>
      <c r="R163">
        <v>0</v>
      </c>
      <c r="S163">
        <v>0.05</v>
      </c>
      <c r="T163" s="7">
        <v>0</v>
      </c>
      <c r="U163" s="7">
        <v>0</v>
      </c>
      <c r="V163" s="7">
        <v>0</v>
      </c>
      <c r="W163" s="7">
        <v>0</v>
      </c>
      <c r="X163" s="6">
        <v>0.2787</v>
      </c>
      <c r="Y163" s="6">
        <v>0.15140000000000001</v>
      </c>
      <c r="Z163" s="4">
        <v>-8.49</v>
      </c>
      <c r="AA163" s="4">
        <v>-100.27</v>
      </c>
      <c r="AB163" s="6">
        <v>0.99970000000000003</v>
      </c>
      <c r="AD163" s="3">
        <v>1</v>
      </c>
      <c r="AE163" s="6">
        <v>5.4000000000000003E-3</v>
      </c>
      <c r="AF163" s="6">
        <v>5.0099999999999999E-2</v>
      </c>
      <c r="AG163" s="7">
        <v>0</v>
      </c>
      <c r="AH163" s="7">
        <v>0</v>
      </c>
      <c r="AI163" s="7">
        <v>23</v>
      </c>
      <c r="AJ163" s="6">
        <v>0.99980000000000002</v>
      </c>
      <c r="AK163" s="7">
        <v>789501600</v>
      </c>
      <c r="AL163" s="5">
        <v>27.583300000000001</v>
      </c>
      <c r="AM163" s="5">
        <v>121.72199999999999</v>
      </c>
      <c r="AN163" s="5">
        <v>523.90170000000001</v>
      </c>
    </row>
    <row r="164" spans="1:40" ht="16.5" x14ac:dyDescent="0.45">
      <c r="A164" s="1" t="s">
        <v>81</v>
      </c>
      <c r="B164" s="1" t="s">
        <v>82</v>
      </c>
      <c r="C164" s="1" t="s">
        <v>41</v>
      </c>
      <c r="D164" s="1" t="s">
        <v>42</v>
      </c>
      <c r="E164" s="1" t="s">
        <v>43</v>
      </c>
      <c r="F164" s="1" t="s">
        <v>42</v>
      </c>
      <c r="G164" s="1" t="s">
        <v>43</v>
      </c>
      <c r="H164" s="1" t="s">
        <v>46</v>
      </c>
      <c r="I164" s="1" t="s">
        <v>47</v>
      </c>
      <c r="J164" s="1">
        <f t="shared" si="2"/>
        <v>100</v>
      </c>
      <c r="K164" s="3">
        <v>1</v>
      </c>
      <c r="L164" s="4">
        <v>8.61</v>
      </c>
      <c r="M164" s="5">
        <v>1.4220999999999999</v>
      </c>
      <c r="N164">
        <v>99.83</v>
      </c>
      <c r="O164">
        <v>99.7</v>
      </c>
      <c r="P164" s="6">
        <v>0.997</v>
      </c>
      <c r="Q164" s="6">
        <v>0.997</v>
      </c>
      <c r="R164">
        <v>0</v>
      </c>
      <c r="S164">
        <v>0.09</v>
      </c>
      <c r="T164" s="7">
        <v>0</v>
      </c>
      <c r="U164" s="7">
        <v>0</v>
      </c>
      <c r="V164" s="7">
        <v>0</v>
      </c>
      <c r="W164" s="7">
        <v>0</v>
      </c>
      <c r="X164" s="6">
        <v>0.2039</v>
      </c>
      <c r="Y164" s="6">
        <v>7.6700000000000004E-2</v>
      </c>
      <c r="Z164" s="4">
        <v>-7.61</v>
      </c>
      <c r="AA164" s="4">
        <v>-101.35</v>
      </c>
      <c r="AB164" s="6">
        <v>0.99950000000000006</v>
      </c>
      <c r="AD164" s="3">
        <v>1</v>
      </c>
      <c r="AE164" s="6">
        <v>3.8E-3</v>
      </c>
      <c r="AF164" s="6">
        <v>5.5300000000000002E-2</v>
      </c>
      <c r="AG164" s="7">
        <v>0</v>
      </c>
      <c r="AH164" s="7">
        <v>0</v>
      </c>
      <c r="AI164" s="7">
        <v>18</v>
      </c>
      <c r="AJ164" s="6">
        <v>0.99990000000000001</v>
      </c>
      <c r="AK164" s="7">
        <v>789501600</v>
      </c>
      <c r="AL164" s="5">
        <v>16.171700000000001</v>
      </c>
      <c r="AM164" s="5">
        <v>79.683400000000006</v>
      </c>
      <c r="AN164" s="5">
        <v>317.78460000000001</v>
      </c>
    </row>
    <row r="165" spans="1:40" ht="16.5" x14ac:dyDescent="0.45">
      <c r="A165" s="1" t="s">
        <v>81</v>
      </c>
      <c r="B165" s="1" t="s">
        <v>82</v>
      </c>
      <c r="C165" s="1" t="s">
        <v>41</v>
      </c>
      <c r="D165" s="1" t="s">
        <v>42</v>
      </c>
      <c r="E165" s="1" t="s">
        <v>43</v>
      </c>
      <c r="F165" s="1" t="s">
        <v>42</v>
      </c>
      <c r="G165" s="1" t="s">
        <v>43</v>
      </c>
      <c r="H165" s="1" t="s">
        <v>48</v>
      </c>
      <c r="I165" s="1" t="s">
        <v>49</v>
      </c>
      <c r="J165" s="1">
        <f t="shared" si="2"/>
        <v>100</v>
      </c>
      <c r="K165" s="3">
        <v>1</v>
      </c>
      <c r="L165" s="4">
        <v>12.9</v>
      </c>
      <c r="M165" s="5">
        <v>3.5091000000000001</v>
      </c>
      <c r="N165">
        <v>99.67</v>
      </c>
      <c r="O165">
        <v>99.89</v>
      </c>
      <c r="P165" s="6">
        <v>0.99880000000000002</v>
      </c>
      <c r="Q165" s="6">
        <v>0.99890000000000001</v>
      </c>
      <c r="R165">
        <v>0.12</v>
      </c>
      <c r="S165">
        <v>0.06</v>
      </c>
      <c r="T165" s="7">
        <v>0</v>
      </c>
      <c r="U165" s="7">
        <v>0</v>
      </c>
      <c r="V165" s="7">
        <v>0</v>
      </c>
      <c r="W165" s="7">
        <v>0</v>
      </c>
      <c r="X165" s="6">
        <v>0.40510000000000002</v>
      </c>
      <c r="Y165" s="3">
        <v>0.21</v>
      </c>
      <c r="Z165" s="4">
        <v>-8.7100000000000009</v>
      </c>
      <c r="AA165" s="4">
        <v>-99.88</v>
      </c>
      <c r="AB165" s="6">
        <v>0.99980000000000002</v>
      </c>
      <c r="AC165" s="7">
        <v>100</v>
      </c>
      <c r="AD165" s="6">
        <v>0.94120000000000004</v>
      </c>
      <c r="AE165" s="6">
        <v>4.1999999999999997E-3</v>
      </c>
      <c r="AF165" s="6">
        <v>3.5999999999999997E-2</v>
      </c>
      <c r="AG165" s="7">
        <v>0</v>
      </c>
      <c r="AH165" s="7">
        <v>0</v>
      </c>
      <c r="AI165" s="7">
        <v>27</v>
      </c>
      <c r="AJ165" s="3">
        <v>1</v>
      </c>
      <c r="AK165" s="7">
        <v>789501600</v>
      </c>
      <c r="AL165" s="5">
        <v>32.278300000000002</v>
      </c>
      <c r="AM165" s="5">
        <v>136.54079999999999</v>
      </c>
      <c r="AN165" s="5">
        <v>832.3</v>
      </c>
    </row>
    <row r="166" spans="1:40" ht="16.5" x14ac:dyDescent="0.45">
      <c r="A166" s="1" t="s">
        <v>81</v>
      </c>
      <c r="B166" s="1" t="s">
        <v>82</v>
      </c>
      <c r="C166" s="1" t="s">
        <v>41</v>
      </c>
      <c r="D166" s="1" t="s">
        <v>50</v>
      </c>
      <c r="E166" s="1" t="s">
        <v>51</v>
      </c>
      <c r="F166" s="1" t="s">
        <v>50</v>
      </c>
      <c r="G166" s="1" t="s">
        <v>51</v>
      </c>
      <c r="H166" s="1" t="s">
        <v>52</v>
      </c>
      <c r="I166" s="1" t="s">
        <v>53</v>
      </c>
      <c r="J166" s="1">
        <f t="shared" si="2"/>
        <v>100</v>
      </c>
      <c r="K166" s="3">
        <v>1</v>
      </c>
      <c r="L166" s="4">
        <v>24.9</v>
      </c>
      <c r="M166" s="5">
        <v>3.7018</v>
      </c>
      <c r="N166">
        <v>99.74</v>
      </c>
      <c r="O166">
        <v>99.87</v>
      </c>
      <c r="P166" s="6">
        <v>0.99870000000000003</v>
      </c>
      <c r="Q166" s="6">
        <v>0.99870000000000003</v>
      </c>
      <c r="R166">
        <v>0</v>
      </c>
      <c r="S166">
        <v>0.05</v>
      </c>
      <c r="T166" s="7">
        <v>0</v>
      </c>
      <c r="U166" s="7">
        <v>0</v>
      </c>
      <c r="V166" s="7">
        <v>0</v>
      </c>
      <c r="W166" s="7">
        <v>0</v>
      </c>
      <c r="X166" s="6">
        <v>0.39979999999999999</v>
      </c>
      <c r="Y166" s="6">
        <v>0.36230000000000001</v>
      </c>
      <c r="Z166" s="4">
        <v>-9.9499999999999993</v>
      </c>
      <c r="AA166" s="7">
        <v>-95</v>
      </c>
      <c r="AB166" s="6">
        <v>0.99960000000000004</v>
      </c>
      <c r="AC166" s="7">
        <v>80</v>
      </c>
      <c r="AD166" s="6">
        <v>0.83330000000000004</v>
      </c>
      <c r="AE166" s="6">
        <v>5.1999999999999998E-3</v>
      </c>
      <c r="AF166" s="6">
        <v>5.3400000000000003E-2</v>
      </c>
      <c r="AG166" s="7">
        <v>0</v>
      </c>
      <c r="AH166" s="7">
        <v>0</v>
      </c>
      <c r="AI166" s="7">
        <v>33</v>
      </c>
      <c r="AJ166" s="3">
        <v>1</v>
      </c>
      <c r="AK166" s="7">
        <v>789501600</v>
      </c>
      <c r="AL166" s="5">
        <v>39.601700000000001</v>
      </c>
      <c r="AM166" s="5">
        <v>205.42670000000001</v>
      </c>
      <c r="AN166" s="5">
        <v>814.47249999999997</v>
      </c>
    </row>
    <row r="167" spans="1:40" ht="16.5" x14ac:dyDescent="0.45">
      <c r="A167" s="1" t="s">
        <v>81</v>
      </c>
      <c r="B167" s="1" t="s">
        <v>82</v>
      </c>
      <c r="C167" s="1" t="s">
        <v>41</v>
      </c>
      <c r="D167" s="1" t="s">
        <v>50</v>
      </c>
      <c r="E167" s="1" t="s">
        <v>51</v>
      </c>
      <c r="F167" s="1" t="s">
        <v>50</v>
      </c>
      <c r="G167" s="1" t="s">
        <v>51</v>
      </c>
      <c r="H167" s="1" t="s">
        <v>54</v>
      </c>
      <c r="I167" s="1" t="s">
        <v>55</v>
      </c>
      <c r="J167" s="1">
        <f t="shared" si="2"/>
        <v>100</v>
      </c>
      <c r="K167" s="3">
        <v>1</v>
      </c>
      <c r="L167" s="4">
        <v>12.41</v>
      </c>
      <c r="M167" s="5">
        <v>3.0047999999999999</v>
      </c>
      <c r="N167">
        <v>99.81</v>
      </c>
      <c r="O167">
        <v>99.929999999999993</v>
      </c>
      <c r="P167" s="6">
        <v>0.99929999999999997</v>
      </c>
      <c r="Q167" s="6">
        <v>0.99939999999999996</v>
      </c>
      <c r="R167">
        <v>0.12</v>
      </c>
      <c r="S167">
        <v>0.03</v>
      </c>
      <c r="T167" s="7">
        <v>0</v>
      </c>
      <c r="U167" s="7">
        <v>0</v>
      </c>
      <c r="V167" s="7">
        <v>0</v>
      </c>
      <c r="W167" s="7">
        <v>0</v>
      </c>
      <c r="X167" s="6">
        <v>0.39639999999999997</v>
      </c>
      <c r="Y167" s="6">
        <v>0.23369999999999999</v>
      </c>
      <c r="Z167" s="4">
        <v>-9.07</v>
      </c>
      <c r="AA167" s="4">
        <v>-99.75</v>
      </c>
      <c r="AB167" s="6">
        <v>0.99970000000000003</v>
      </c>
      <c r="AD167" s="3">
        <v>1</v>
      </c>
      <c r="AE167" s="6">
        <v>5.7000000000000002E-3</v>
      </c>
      <c r="AF167" s="6">
        <v>4.3400000000000001E-2</v>
      </c>
      <c r="AG167" s="7">
        <v>0</v>
      </c>
      <c r="AH167" s="7">
        <v>0</v>
      </c>
      <c r="AI167" s="7">
        <v>16</v>
      </c>
      <c r="AJ167" s="3">
        <v>1</v>
      </c>
      <c r="AK167" s="7">
        <v>789501600</v>
      </c>
      <c r="AL167" s="5">
        <v>30.493400000000001</v>
      </c>
      <c r="AM167" s="5">
        <v>181.90010000000001</v>
      </c>
      <c r="AN167" s="5">
        <v>645.9212</v>
      </c>
    </row>
    <row r="168" spans="1:40" ht="16.5" x14ac:dyDescent="0.45">
      <c r="A168" s="1" t="s">
        <v>81</v>
      </c>
      <c r="B168" s="1" t="s">
        <v>82</v>
      </c>
      <c r="C168" s="1" t="s">
        <v>41</v>
      </c>
      <c r="D168" s="1" t="s">
        <v>50</v>
      </c>
      <c r="E168" s="1" t="s">
        <v>51</v>
      </c>
      <c r="F168" s="1" t="s">
        <v>50</v>
      </c>
      <c r="G168" s="1" t="s">
        <v>51</v>
      </c>
      <c r="H168" s="1" t="s">
        <v>56</v>
      </c>
      <c r="I168" s="1" t="s">
        <v>57</v>
      </c>
      <c r="J168" s="1">
        <f t="shared" si="2"/>
        <v>100</v>
      </c>
      <c r="K168" s="3">
        <v>1</v>
      </c>
      <c r="L168" s="4">
        <v>15.99</v>
      </c>
      <c r="M168" s="5">
        <v>1.9511000000000001</v>
      </c>
      <c r="N168">
        <v>99.850000000000009</v>
      </c>
      <c r="O168">
        <v>99.17</v>
      </c>
      <c r="P168" s="6">
        <v>0.99170000000000003</v>
      </c>
      <c r="Q168" s="6">
        <v>0.99170000000000003</v>
      </c>
      <c r="R168">
        <v>0.08</v>
      </c>
      <c r="S168">
        <v>0.11</v>
      </c>
      <c r="T168" s="7">
        <v>0</v>
      </c>
      <c r="U168" s="7">
        <v>0</v>
      </c>
      <c r="V168" s="7">
        <v>0</v>
      </c>
      <c r="W168" s="7">
        <v>0</v>
      </c>
      <c r="X168" s="6">
        <v>0.312</v>
      </c>
      <c r="Y168" s="6">
        <v>0.19639999999999999</v>
      </c>
      <c r="Z168" s="4">
        <v>-7.38</v>
      </c>
      <c r="AA168" s="4">
        <v>-98.52</v>
      </c>
      <c r="AB168" s="6">
        <v>0.99980000000000002</v>
      </c>
      <c r="AD168" s="6">
        <v>0.90910000000000002</v>
      </c>
      <c r="AE168" s="6">
        <v>3.8999999999999998E-3</v>
      </c>
      <c r="AF168" s="6">
        <v>4.4699999999999997E-2</v>
      </c>
      <c r="AG168" s="7">
        <v>0</v>
      </c>
      <c r="AH168" s="7">
        <v>0</v>
      </c>
      <c r="AI168" s="7">
        <v>8</v>
      </c>
      <c r="AJ168" s="3">
        <v>1</v>
      </c>
      <c r="AK168" s="7">
        <v>789501600</v>
      </c>
      <c r="AL168" s="5">
        <v>20.8917</v>
      </c>
      <c r="AM168" s="5">
        <v>110.489</v>
      </c>
      <c r="AN168" s="5">
        <v>404.50069999999999</v>
      </c>
    </row>
    <row r="169" spans="1:40" ht="16.5" x14ac:dyDescent="0.45">
      <c r="A169" s="1" t="s">
        <v>81</v>
      </c>
      <c r="B169" s="1" t="s">
        <v>82</v>
      </c>
      <c r="C169" s="1" t="s">
        <v>41</v>
      </c>
      <c r="D169" s="1" t="s">
        <v>50</v>
      </c>
      <c r="E169" s="1" t="s">
        <v>51</v>
      </c>
      <c r="F169" s="1" t="s">
        <v>50</v>
      </c>
      <c r="G169" s="1" t="s">
        <v>51</v>
      </c>
      <c r="H169" s="1" t="s">
        <v>58</v>
      </c>
      <c r="I169" s="1" t="s">
        <v>59</v>
      </c>
      <c r="J169" s="1">
        <f t="shared" si="2"/>
        <v>100</v>
      </c>
      <c r="K169" s="3">
        <v>1</v>
      </c>
      <c r="L169" s="4">
        <v>12.72</v>
      </c>
      <c r="M169" s="5">
        <v>2.7498</v>
      </c>
      <c r="N169">
        <v>99.79</v>
      </c>
      <c r="O169">
        <v>99.82</v>
      </c>
      <c r="P169" s="6">
        <v>0.99819999999999998</v>
      </c>
      <c r="Q169" s="6">
        <v>0.99839999999999995</v>
      </c>
      <c r="R169">
        <v>0</v>
      </c>
      <c r="S169">
        <v>0.05</v>
      </c>
      <c r="T169" s="7">
        <v>0</v>
      </c>
      <c r="U169" s="7">
        <v>0</v>
      </c>
      <c r="V169" s="7">
        <v>0</v>
      </c>
      <c r="W169" s="7">
        <v>0</v>
      </c>
      <c r="X169" s="6">
        <v>0.31619999999999998</v>
      </c>
      <c r="Y169" s="6">
        <v>0.19850000000000001</v>
      </c>
      <c r="Z169" s="4">
        <v>-7.65</v>
      </c>
      <c r="AA169" s="4">
        <v>-101.76</v>
      </c>
      <c r="AB169" s="6">
        <v>0.99929999999999997</v>
      </c>
      <c r="AD169" s="6">
        <v>0.88890000000000002</v>
      </c>
      <c r="AE169" s="6">
        <v>4.7999999999999996E-3</v>
      </c>
      <c r="AF169" s="6">
        <v>5.3600000000000002E-2</v>
      </c>
      <c r="AG169" s="7">
        <v>0</v>
      </c>
      <c r="AH169" s="7">
        <v>0</v>
      </c>
      <c r="AI169" s="7">
        <v>25</v>
      </c>
      <c r="AJ169" s="3">
        <v>1</v>
      </c>
      <c r="AK169" s="7">
        <v>789501600</v>
      </c>
      <c r="AL169" s="5">
        <v>21.603300000000001</v>
      </c>
      <c r="AM169" s="5">
        <v>137.63460000000001</v>
      </c>
      <c r="AN169" s="5">
        <v>615.61149999999998</v>
      </c>
    </row>
    <row r="170" spans="1:40" ht="16.5" x14ac:dyDescent="0.45">
      <c r="A170" s="1" t="s">
        <v>82</v>
      </c>
      <c r="B170" s="1" t="s">
        <v>83</v>
      </c>
      <c r="C170" s="1" t="s">
        <v>41</v>
      </c>
      <c r="D170" s="1" t="s">
        <v>42</v>
      </c>
      <c r="E170" s="1" t="s">
        <v>43</v>
      </c>
      <c r="F170" s="1" t="s">
        <v>42</v>
      </c>
      <c r="G170" s="1" t="s">
        <v>43</v>
      </c>
      <c r="H170" s="1" t="s">
        <v>44</v>
      </c>
      <c r="I170" s="1" t="s">
        <v>45</v>
      </c>
      <c r="J170" s="1">
        <f t="shared" si="2"/>
        <v>100</v>
      </c>
      <c r="K170" s="3">
        <v>1</v>
      </c>
      <c r="L170" s="4">
        <v>26.53</v>
      </c>
      <c r="M170" s="5">
        <v>3.0958999999999999</v>
      </c>
      <c r="N170">
        <v>99.76</v>
      </c>
      <c r="O170">
        <v>99.9</v>
      </c>
      <c r="P170" s="6">
        <v>0.999</v>
      </c>
      <c r="Q170" s="6">
        <v>0.99909999999999999</v>
      </c>
      <c r="R170">
        <v>0</v>
      </c>
      <c r="S170">
        <v>0.04</v>
      </c>
      <c r="T170" s="7">
        <v>0</v>
      </c>
      <c r="U170" s="7">
        <v>0</v>
      </c>
      <c r="V170" s="7">
        <v>0</v>
      </c>
      <c r="W170" s="7">
        <v>0</v>
      </c>
      <c r="X170" s="6">
        <v>0.40339999999999998</v>
      </c>
      <c r="Y170" s="6">
        <v>0.15890000000000001</v>
      </c>
      <c r="Z170" s="4">
        <v>-9.84</v>
      </c>
      <c r="AA170" s="4">
        <v>-99.15</v>
      </c>
      <c r="AB170" s="6">
        <v>0.99980000000000002</v>
      </c>
      <c r="AC170" s="7">
        <v>100</v>
      </c>
      <c r="AD170" s="3">
        <v>1</v>
      </c>
      <c r="AE170" s="6">
        <v>4.4000000000000003E-3</v>
      </c>
      <c r="AF170" s="6">
        <v>7.1800000000000003E-2</v>
      </c>
      <c r="AG170" s="7">
        <v>0</v>
      </c>
      <c r="AH170" s="7">
        <v>0</v>
      </c>
      <c r="AI170" s="7">
        <v>39</v>
      </c>
      <c r="AJ170" s="6">
        <v>0.99980000000000002</v>
      </c>
      <c r="AK170" s="7">
        <v>789501600</v>
      </c>
      <c r="AL170" s="5">
        <v>30.081700000000001</v>
      </c>
      <c r="AM170" s="5">
        <v>165.1789</v>
      </c>
      <c r="AN170" s="5">
        <v>666.54729999999995</v>
      </c>
    </row>
    <row r="171" spans="1:40" ht="16.5" x14ac:dyDescent="0.45">
      <c r="A171" s="1" t="s">
        <v>82</v>
      </c>
      <c r="B171" s="1" t="s">
        <v>83</v>
      </c>
      <c r="C171" s="1" t="s">
        <v>41</v>
      </c>
      <c r="D171" s="1" t="s">
        <v>42</v>
      </c>
      <c r="E171" s="1" t="s">
        <v>43</v>
      </c>
      <c r="F171" s="1" t="s">
        <v>42</v>
      </c>
      <c r="G171" s="1" t="s">
        <v>43</v>
      </c>
      <c r="H171" s="1" t="s">
        <v>46</v>
      </c>
      <c r="I171" s="1" t="s">
        <v>47</v>
      </c>
      <c r="J171" s="1">
        <f t="shared" si="2"/>
        <v>100</v>
      </c>
      <c r="K171" s="3">
        <v>1</v>
      </c>
      <c r="L171" s="4">
        <v>19.41</v>
      </c>
      <c r="M171" s="5">
        <v>2.6091000000000002</v>
      </c>
      <c r="N171">
        <v>99.67</v>
      </c>
      <c r="O171">
        <v>99.65</v>
      </c>
      <c r="P171" s="6">
        <v>0.99650000000000005</v>
      </c>
      <c r="Q171" s="6">
        <v>0.99650000000000005</v>
      </c>
      <c r="R171">
        <v>0</v>
      </c>
      <c r="S171">
        <v>0.13</v>
      </c>
      <c r="T171" s="7">
        <v>0</v>
      </c>
      <c r="U171" s="7">
        <v>0</v>
      </c>
      <c r="V171" s="7">
        <v>0</v>
      </c>
      <c r="W171" s="7">
        <v>0</v>
      </c>
      <c r="X171" s="6">
        <v>0.28339999999999999</v>
      </c>
      <c r="Y171" s="6">
        <v>9.2100000000000001E-2</v>
      </c>
      <c r="Z171" s="4">
        <v>-8.84</v>
      </c>
      <c r="AA171" s="4">
        <v>-99.94</v>
      </c>
      <c r="AB171" s="6">
        <v>0.99970000000000003</v>
      </c>
      <c r="AC171" s="7">
        <v>100</v>
      </c>
      <c r="AD171" s="3">
        <v>1</v>
      </c>
      <c r="AE171" s="6">
        <v>6.1000000000000004E-3</v>
      </c>
      <c r="AF171" s="6">
        <v>5.7599999999999998E-2</v>
      </c>
      <c r="AG171" s="7">
        <v>0</v>
      </c>
      <c r="AH171" s="7">
        <v>0</v>
      </c>
      <c r="AI171" s="7">
        <v>56</v>
      </c>
      <c r="AJ171" s="6">
        <v>0.99990000000000001</v>
      </c>
      <c r="AK171" s="7">
        <v>789501600</v>
      </c>
      <c r="AL171" s="5">
        <v>21.775099999999998</v>
      </c>
      <c r="AM171" s="5">
        <v>136.19999999999999</v>
      </c>
      <c r="AN171" s="5">
        <v>576.74400000000003</v>
      </c>
    </row>
    <row r="172" spans="1:40" ht="16.5" x14ac:dyDescent="0.45">
      <c r="A172" s="1" t="s">
        <v>82</v>
      </c>
      <c r="B172" s="1" t="s">
        <v>83</v>
      </c>
      <c r="C172" s="1" t="s">
        <v>41</v>
      </c>
      <c r="D172" s="1" t="s">
        <v>42</v>
      </c>
      <c r="E172" s="1" t="s">
        <v>43</v>
      </c>
      <c r="F172" s="1" t="s">
        <v>42</v>
      </c>
      <c r="G172" s="1" t="s">
        <v>43</v>
      </c>
      <c r="H172" s="1" t="s">
        <v>48</v>
      </c>
      <c r="I172" s="1" t="s">
        <v>49</v>
      </c>
      <c r="J172" s="1">
        <f t="shared" si="2"/>
        <v>100</v>
      </c>
      <c r="K172" s="3">
        <v>1</v>
      </c>
      <c r="L172" s="4">
        <v>26.96</v>
      </c>
      <c r="M172" s="5">
        <v>3.4624000000000001</v>
      </c>
      <c r="N172">
        <v>99.75</v>
      </c>
      <c r="O172">
        <v>99.8</v>
      </c>
      <c r="P172" s="6">
        <v>0.998</v>
      </c>
      <c r="Q172" s="6">
        <v>0.99829999999999997</v>
      </c>
      <c r="R172">
        <v>0.13999999999999999</v>
      </c>
      <c r="S172">
        <v>0.04</v>
      </c>
      <c r="T172" s="7">
        <v>0</v>
      </c>
      <c r="U172" s="7">
        <v>0</v>
      </c>
      <c r="V172" s="7">
        <v>0</v>
      </c>
      <c r="W172" s="7">
        <v>0</v>
      </c>
      <c r="X172" s="6">
        <v>0.48670000000000002</v>
      </c>
      <c r="Y172" s="6">
        <v>0.2157</v>
      </c>
      <c r="Z172" s="4">
        <v>-9.57</v>
      </c>
      <c r="AA172" s="4">
        <v>-98.99</v>
      </c>
      <c r="AB172" s="6">
        <v>0.99970000000000003</v>
      </c>
      <c r="AC172" s="4">
        <v>77.78</v>
      </c>
      <c r="AD172" s="6">
        <v>0.96430000000000005</v>
      </c>
      <c r="AE172" s="6">
        <v>5.7999999999999996E-3</v>
      </c>
      <c r="AF172" s="6">
        <v>5.8400000000000001E-2</v>
      </c>
      <c r="AG172" s="7">
        <v>0</v>
      </c>
      <c r="AH172" s="7">
        <v>0</v>
      </c>
      <c r="AI172" s="7">
        <v>26</v>
      </c>
      <c r="AJ172" s="3">
        <v>1</v>
      </c>
      <c r="AK172" s="7">
        <v>789501600</v>
      </c>
      <c r="AL172" s="5">
        <v>35.048400000000001</v>
      </c>
      <c r="AM172" s="5">
        <v>146.99780000000001</v>
      </c>
      <c r="AN172" s="5">
        <v>811.75570000000005</v>
      </c>
    </row>
    <row r="173" spans="1:40" ht="16.5" x14ac:dyDescent="0.45">
      <c r="A173" s="1" t="s">
        <v>82</v>
      </c>
      <c r="B173" s="1" t="s">
        <v>83</v>
      </c>
      <c r="C173" s="1" t="s">
        <v>41</v>
      </c>
      <c r="D173" s="1" t="s">
        <v>50</v>
      </c>
      <c r="E173" s="1" t="s">
        <v>51</v>
      </c>
      <c r="F173" s="1" t="s">
        <v>50</v>
      </c>
      <c r="G173" s="1" t="s">
        <v>51</v>
      </c>
      <c r="H173" s="1" t="s">
        <v>52</v>
      </c>
      <c r="I173" s="1" t="s">
        <v>53</v>
      </c>
      <c r="J173" s="1">
        <f t="shared" si="2"/>
        <v>100</v>
      </c>
      <c r="K173" s="3">
        <v>1</v>
      </c>
      <c r="L173" s="4">
        <v>61.84</v>
      </c>
      <c r="M173" s="5">
        <v>3.4992000000000001</v>
      </c>
      <c r="N173">
        <v>99.62</v>
      </c>
      <c r="O173">
        <v>99.78</v>
      </c>
      <c r="P173" s="6">
        <v>0.99780000000000002</v>
      </c>
      <c r="Q173" s="6">
        <v>0.99790000000000001</v>
      </c>
      <c r="R173">
        <v>0.18</v>
      </c>
      <c r="S173">
        <v>0.1</v>
      </c>
      <c r="T173" s="7">
        <v>0</v>
      </c>
      <c r="U173" s="7">
        <v>0</v>
      </c>
      <c r="V173" s="7">
        <v>0</v>
      </c>
      <c r="W173" s="7">
        <v>0</v>
      </c>
      <c r="X173" s="6">
        <v>0.5323</v>
      </c>
      <c r="Y173" s="6">
        <v>0.40100000000000002</v>
      </c>
      <c r="Z173" s="4">
        <v>-11.29</v>
      </c>
      <c r="AA173" s="4">
        <v>-94.4</v>
      </c>
      <c r="AB173" s="6">
        <v>0.99950000000000006</v>
      </c>
      <c r="AC173" s="7">
        <v>75</v>
      </c>
      <c r="AD173" s="3">
        <v>1</v>
      </c>
      <c r="AE173" s="6">
        <v>6.4000000000000003E-3</v>
      </c>
      <c r="AF173" s="6">
        <v>7.4200000000000002E-2</v>
      </c>
      <c r="AG173" s="7">
        <v>0</v>
      </c>
      <c r="AH173" s="7">
        <v>0</v>
      </c>
      <c r="AI173" s="7">
        <v>108</v>
      </c>
      <c r="AJ173" s="6">
        <v>0.99990000000000001</v>
      </c>
      <c r="AK173" s="7">
        <v>789501600</v>
      </c>
      <c r="AL173" s="5">
        <v>49.796700000000001</v>
      </c>
      <c r="AM173" s="5">
        <v>244.40700000000001</v>
      </c>
      <c r="AN173" s="5">
        <v>707.32500000000005</v>
      </c>
    </row>
    <row r="174" spans="1:40" ht="16.5" x14ac:dyDescent="0.45">
      <c r="A174" s="1" t="s">
        <v>82</v>
      </c>
      <c r="B174" s="1" t="s">
        <v>83</v>
      </c>
      <c r="C174" s="1" t="s">
        <v>41</v>
      </c>
      <c r="D174" s="1" t="s">
        <v>50</v>
      </c>
      <c r="E174" s="1" t="s">
        <v>51</v>
      </c>
      <c r="F174" s="1" t="s">
        <v>50</v>
      </c>
      <c r="G174" s="1" t="s">
        <v>51</v>
      </c>
      <c r="H174" s="1" t="s">
        <v>54</v>
      </c>
      <c r="I174" s="1" t="s">
        <v>55</v>
      </c>
      <c r="J174" s="1">
        <f t="shared" si="2"/>
        <v>100</v>
      </c>
      <c r="K174" s="3">
        <v>1</v>
      </c>
      <c r="L174" s="4">
        <v>33.54</v>
      </c>
      <c r="M174" s="5">
        <v>3.5436999999999999</v>
      </c>
      <c r="N174">
        <v>99.62</v>
      </c>
      <c r="O174">
        <v>99.929999999999993</v>
      </c>
      <c r="P174" s="6">
        <v>0.99929999999999997</v>
      </c>
      <c r="Q174" s="6">
        <v>0.99929999999999997</v>
      </c>
      <c r="R174">
        <v>0.11</v>
      </c>
      <c r="S174">
        <v>0.03</v>
      </c>
      <c r="T174" s="7">
        <v>0</v>
      </c>
      <c r="U174" s="7">
        <v>0</v>
      </c>
      <c r="V174" s="7">
        <v>0</v>
      </c>
      <c r="W174" s="7">
        <v>0</v>
      </c>
      <c r="X174" s="6">
        <v>0.55030000000000001</v>
      </c>
      <c r="Y174" s="6">
        <v>0.27650000000000002</v>
      </c>
      <c r="Z174" s="4">
        <v>-10.55</v>
      </c>
      <c r="AA174" s="4">
        <v>-98.05</v>
      </c>
      <c r="AB174" s="6">
        <v>0.99960000000000004</v>
      </c>
      <c r="AC174" s="7">
        <v>100</v>
      </c>
      <c r="AD174" s="3">
        <v>1</v>
      </c>
      <c r="AE174" s="6">
        <v>5.3E-3</v>
      </c>
      <c r="AF174" s="6">
        <v>5.1400000000000001E-2</v>
      </c>
      <c r="AG174" s="7">
        <v>0</v>
      </c>
      <c r="AH174" s="7">
        <v>0</v>
      </c>
      <c r="AI174" s="7">
        <v>35</v>
      </c>
      <c r="AJ174" s="3">
        <v>1</v>
      </c>
      <c r="AK174" s="7">
        <v>789501600</v>
      </c>
      <c r="AL174" s="5">
        <v>34.506700000000002</v>
      </c>
      <c r="AM174" s="5">
        <v>190.58240000000001</v>
      </c>
      <c r="AN174" s="5">
        <v>793.54660000000001</v>
      </c>
    </row>
    <row r="175" spans="1:40" ht="16.5" x14ac:dyDescent="0.45">
      <c r="A175" s="1" t="s">
        <v>82</v>
      </c>
      <c r="B175" s="1" t="s">
        <v>83</v>
      </c>
      <c r="C175" s="1" t="s">
        <v>41</v>
      </c>
      <c r="D175" s="1" t="s">
        <v>50</v>
      </c>
      <c r="E175" s="1" t="s">
        <v>51</v>
      </c>
      <c r="F175" s="1" t="s">
        <v>50</v>
      </c>
      <c r="G175" s="1" t="s">
        <v>51</v>
      </c>
      <c r="H175" s="1" t="s">
        <v>56</v>
      </c>
      <c r="I175" s="1" t="s">
        <v>57</v>
      </c>
      <c r="J175" s="1">
        <f t="shared" si="2"/>
        <v>100</v>
      </c>
      <c r="K175" s="3">
        <v>1</v>
      </c>
      <c r="L175" s="4">
        <v>39.97</v>
      </c>
      <c r="M175" s="5">
        <v>3.0015999999999998</v>
      </c>
      <c r="N175">
        <v>99.75</v>
      </c>
      <c r="O175">
        <v>99.7</v>
      </c>
      <c r="P175" s="6">
        <v>0.997</v>
      </c>
      <c r="Q175" s="6">
        <v>0.99709999999999999</v>
      </c>
      <c r="R175">
        <v>0.04</v>
      </c>
      <c r="S175">
        <v>0.12</v>
      </c>
      <c r="T175" s="7">
        <v>0</v>
      </c>
      <c r="U175" s="7">
        <v>0</v>
      </c>
      <c r="V175" s="7">
        <v>0</v>
      </c>
      <c r="W175" s="7">
        <v>0</v>
      </c>
      <c r="X175" s="6">
        <v>0.49859999999999999</v>
      </c>
      <c r="Y175" s="6">
        <v>0.27710000000000001</v>
      </c>
      <c r="Z175" s="4">
        <v>-9.49</v>
      </c>
      <c r="AA175" s="4">
        <v>-96.55</v>
      </c>
      <c r="AB175" s="6">
        <v>0.99980000000000002</v>
      </c>
      <c r="AD175" s="6">
        <v>0.76919999999999999</v>
      </c>
      <c r="AE175" s="6">
        <v>4.7000000000000002E-3</v>
      </c>
      <c r="AF175" s="6">
        <v>5.04E-2</v>
      </c>
      <c r="AG175" s="7">
        <v>0</v>
      </c>
      <c r="AH175" s="7">
        <v>0</v>
      </c>
      <c r="AI175" s="7">
        <v>19</v>
      </c>
      <c r="AJ175" s="3">
        <v>1</v>
      </c>
      <c r="AK175" s="7">
        <v>789501600</v>
      </c>
      <c r="AL175" s="5">
        <v>29.306699999999999</v>
      </c>
      <c r="AM175" s="5">
        <v>157.43369999999999</v>
      </c>
      <c r="AN175" s="5">
        <v>658.22799999999995</v>
      </c>
    </row>
    <row r="176" spans="1:40" ht="16.5" x14ac:dyDescent="0.45">
      <c r="A176" s="1" t="s">
        <v>82</v>
      </c>
      <c r="B176" s="1" t="s">
        <v>83</v>
      </c>
      <c r="C176" s="1" t="s">
        <v>41</v>
      </c>
      <c r="D176" s="1" t="s">
        <v>50</v>
      </c>
      <c r="E176" s="1" t="s">
        <v>51</v>
      </c>
      <c r="F176" s="1" t="s">
        <v>50</v>
      </c>
      <c r="G176" s="1" t="s">
        <v>51</v>
      </c>
      <c r="H176" s="1" t="s">
        <v>58</v>
      </c>
      <c r="I176" s="1" t="s">
        <v>59</v>
      </c>
      <c r="J176" s="1">
        <f t="shared" si="2"/>
        <v>92.94</v>
      </c>
      <c r="K176" s="6">
        <v>0.9294</v>
      </c>
      <c r="L176" s="4">
        <v>26.27</v>
      </c>
      <c r="M176" s="5">
        <v>4.0400999999999998</v>
      </c>
      <c r="N176">
        <v>99.77000000000001</v>
      </c>
      <c r="O176">
        <v>99.91</v>
      </c>
      <c r="P176" s="6">
        <v>0.99909999999999999</v>
      </c>
      <c r="Q176" s="6">
        <v>0.99909999999999999</v>
      </c>
      <c r="R176">
        <v>0</v>
      </c>
      <c r="S176">
        <v>0.04</v>
      </c>
      <c r="T176" s="7">
        <v>1</v>
      </c>
      <c r="U176" s="7">
        <v>0</v>
      </c>
      <c r="V176" s="7">
        <v>0</v>
      </c>
      <c r="W176" s="7">
        <v>0</v>
      </c>
      <c r="X176" s="6">
        <v>0.49399999999999999</v>
      </c>
      <c r="Y176" s="6">
        <v>0.2848</v>
      </c>
      <c r="Z176" s="4">
        <v>-9.74</v>
      </c>
      <c r="AA176" s="4">
        <v>-100.06</v>
      </c>
      <c r="AB176" s="6">
        <v>0.99980000000000002</v>
      </c>
      <c r="AD176" s="3">
        <v>0.75</v>
      </c>
      <c r="AE176" s="6">
        <v>5.7999999999999996E-3</v>
      </c>
      <c r="AF176" s="6">
        <v>6.1100000000000002E-2</v>
      </c>
      <c r="AG176" s="7">
        <v>0</v>
      </c>
      <c r="AH176" s="7">
        <v>0</v>
      </c>
      <c r="AI176" s="7">
        <v>28</v>
      </c>
      <c r="AJ176" s="3">
        <v>1</v>
      </c>
      <c r="AK176" s="7">
        <v>789503124</v>
      </c>
      <c r="AL176" s="5">
        <v>32.526800000000001</v>
      </c>
      <c r="AM176" s="5">
        <v>163.7653</v>
      </c>
      <c r="AN176" s="5">
        <v>953.63710000000003</v>
      </c>
    </row>
    <row r="177" spans="1:40" ht="16.5" x14ac:dyDescent="0.45">
      <c r="A177" s="1" t="s">
        <v>83</v>
      </c>
      <c r="B177" s="1" t="s">
        <v>84</v>
      </c>
      <c r="C177" s="1" t="s">
        <v>41</v>
      </c>
      <c r="D177" s="1" t="s">
        <v>42</v>
      </c>
      <c r="E177" s="1" t="s">
        <v>43</v>
      </c>
      <c r="F177" s="1" t="s">
        <v>42</v>
      </c>
      <c r="G177" s="1" t="s">
        <v>43</v>
      </c>
      <c r="H177" s="1" t="s">
        <v>44</v>
      </c>
      <c r="I177" s="1" t="s">
        <v>45</v>
      </c>
      <c r="J177" s="1">
        <f t="shared" si="2"/>
        <v>100</v>
      </c>
      <c r="K177" s="3">
        <v>1</v>
      </c>
      <c r="L177" s="4">
        <v>31.7</v>
      </c>
      <c r="M177" s="5">
        <v>2.9020000000000001</v>
      </c>
      <c r="N177">
        <v>99.67</v>
      </c>
      <c r="O177">
        <v>99.839999999999989</v>
      </c>
      <c r="P177" s="6">
        <v>0.99839999999999995</v>
      </c>
      <c r="Q177" s="6">
        <v>0.99839999999999995</v>
      </c>
      <c r="R177">
        <v>0.05</v>
      </c>
      <c r="S177">
        <v>0.08</v>
      </c>
      <c r="T177" s="7">
        <v>0</v>
      </c>
      <c r="U177" s="7">
        <v>0</v>
      </c>
      <c r="V177" s="7">
        <v>0</v>
      </c>
      <c r="W177" s="7">
        <v>0</v>
      </c>
      <c r="X177" s="6">
        <v>0.42170000000000002</v>
      </c>
      <c r="Y177" s="6">
        <v>0.14349999999999999</v>
      </c>
      <c r="Z177" s="4">
        <v>-10.029999999999999</v>
      </c>
      <c r="AA177" s="4">
        <v>-98.37</v>
      </c>
      <c r="AB177" s="6">
        <v>0.99960000000000004</v>
      </c>
      <c r="AC177" s="4">
        <v>66.67</v>
      </c>
      <c r="AD177" s="3">
        <v>1</v>
      </c>
      <c r="AE177" s="6">
        <v>4.8999999999999998E-3</v>
      </c>
      <c r="AF177" s="6">
        <v>6.2E-2</v>
      </c>
      <c r="AG177" s="7">
        <v>0</v>
      </c>
      <c r="AH177" s="7">
        <v>0</v>
      </c>
      <c r="AI177" s="7">
        <v>32</v>
      </c>
      <c r="AJ177" s="6">
        <v>0.99990000000000001</v>
      </c>
      <c r="AK177" s="7">
        <v>789501600</v>
      </c>
      <c r="AL177" s="5">
        <v>30.241700000000002</v>
      </c>
      <c r="AM177" s="5">
        <v>200.91589999999999</v>
      </c>
      <c r="AN177" s="5">
        <v>585.40840000000003</v>
      </c>
    </row>
    <row r="178" spans="1:40" ht="16.5" x14ac:dyDescent="0.45">
      <c r="A178" s="1" t="s">
        <v>83</v>
      </c>
      <c r="B178" s="1" t="s">
        <v>84</v>
      </c>
      <c r="C178" s="1" t="s">
        <v>41</v>
      </c>
      <c r="D178" s="1" t="s">
        <v>42</v>
      </c>
      <c r="E178" s="1" t="s">
        <v>43</v>
      </c>
      <c r="F178" s="1" t="s">
        <v>42</v>
      </c>
      <c r="G178" s="1" t="s">
        <v>43</v>
      </c>
      <c r="H178" s="1" t="s">
        <v>46</v>
      </c>
      <c r="I178" s="1" t="s">
        <v>47</v>
      </c>
      <c r="J178" s="1">
        <f t="shared" si="2"/>
        <v>100</v>
      </c>
      <c r="K178" s="3">
        <v>1</v>
      </c>
      <c r="L178" s="4">
        <v>27.32</v>
      </c>
      <c r="M178" s="5">
        <v>2.1147</v>
      </c>
      <c r="N178">
        <v>99.64</v>
      </c>
      <c r="O178">
        <v>99.839999999999989</v>
      </c>
      <c r="P178" s="6">
        <v>0.99839999999999995</v>
      </c>
      <c r="Q178" s="6">
        <v>0.99839999999999995</v>
      </c>
      <c r="R178">
        <v>0</v>
      </c>
      <c r="S178">
        <v>0.08</v>
      </c>
      <c r="T178" s="7">
        <v>0</v>
      </c>
      <c r="U178" s="7">
        <v>0</v>
      </c>
      <c r="V178" s="7">
        <v>0</v>
      </c>
      <c r="W178" s="7">
        <v>0</v>
      </c>
      <c r="X178" s="6">
        <v>0.30859999999999999</v>
      </c>
      <c r="Y178" s="6">
        <v>0.1193</v>
      </c>
      <c r="Z178" s="4">
        <v>-9.2100000000000009</v>
      </c>
      <c r="AA178" s="4">
        <v>-99.5</v>
      </c>
      <c r="AB178" s="6">
        <v>0.99980000000000002</v>
      </c>
      <c r="AC178" s="7">
        <v>100</v>
      </c>
      <c r="AD178" s="3">
        <v>1</v>
      </c>
      <c r="AE178" s="6">
        <v>5.0000000000000001E-3</v>
      </c>
      <c r="AF178" s="6">
        <v>5.4899999999999997E-2</v>
      </c>
      <c r="AG178" s="7">
        <v>0</v>
      </c>
      <c r="AH178" s="7">
        <v>0</v>
      </c>
      <c r="AI178" s="7">
        <v>51</v>
      </c>
      <c r="AJ178" s="6">
        <v>0.99990000000000001</v>
      </c>
      <c r="AK178" s="7">
        <v>789501600</v>
      </c>
      <c r="AL178" s="5">
        <v>24.69</v>
      </c>
      <c r="AM178" s="5">
        <v>106.9337</v>
      </c>
      <c r="AN178" s="5">
        <v>470.42829999999998</v>
      </c>
    </row>
    <row r="179" spans="1:40" ht="16.5" x14ac:dyDescent="0.45">
      <c r="A179" s="1" t="s">
        <v>83</v>
      </c>
      <c r="B179" s="1" t="s">
        <v>84</v>
      </c>
      <c r="C179" s="1" t="s">
        <v>41</v>
      </c>
      <c r="D179" s="1" t="s">
        <v>42</v>
      </c>
      <c r="E179" s="1" t="s">
        <v>43</v>
      </c>
      <c r="F179" s="1" t="s">
        <v>42</v>
      </c>
      <c r="G179" s="1" t="s">
        <v>43</v>
      </c>
      <c r="H179" s="1" t="s">
        <v>48</v>
      </c>
      <c r="I179" s="1" t="s">
        <v>49</v>
      </c>
      <c r="J179" s="1">
        <f t="shared" si="2"/>
        <v>100</v>
      </c>
      <c r="K179" s="3">
        <v>1</v>
      </c>
      <c r="L179" s="4">
        <v>34.369999999999997</v>
      </c>
      <c r="M179" s="5">
        <v>3.1204999999999998</v>
      </c>
      <c r="N179">
        <v>99.49</v>
      </c>
      <c r="O179">
        <v>99.79</v>
      </c>
      <c r="P179" s="6">
        <v>0.998</v>
      </c>
      <c r="Q179" s="6">
        <v>0.998</v>
      </c>
      <c r="R179">
        <v>0.13</v>
      </c>
      <c r="S179">
        <v>0.08</v>
      </c>
      <c r="T179" s="7">
        <v>0</v>
      </c>
      <c r="U179" s="7">
        <v>0</v>
      </c>
      <c r="V179" s="7">
        <v>0</v>
      </c>
      <c r="W179" s="7">
        <v>0</v>
      </c>
      <c r="X179" s="6">
        <v>0.49959999999999999</v>
      </c>
      <c r="Y179" s="6">
        <v>0.14299999999999999</v>
      </c>
      <c r="Z179" s="4">
        <v>-9.56</v>
      </c>
      <c r="AA179" s="4">
        <v>-98.46</v>
      </c>
      <c r="AB179" s="6">
        <v>0.99929999999999997</v>
      </c>
      <c r="AC179" s="4">
        <v>84.21</v>
      </c>
      <c r="AD179" s="6">
        <v>0.97670000000000001</v>
      </c>
      <c r="AE179" s="6">
        <v>3.8E-3</v>
      </c>
      <c r="AF179" s="6">
        <v>4.4400000000000002E-2</v>
      </c>
      <c r="AG179" s="7">
        <v>0</v>
      </c>
      <c r="AH179" s="7">
        <v>0</v>
      </c>
      <c r="AI179" s="7">
        <v>32</v>
      </c>
      <c r="AJ179" s="6">
        <v>0.99990000000000001</v>
      </c>
      <c r="AK179" s="7">
        <v>789501600</v>
      </c>
      <c r="AL179" s="5">
        <v>27.975000000000001</v>
      </c>
      <c r="AM179" s="5">
        <v>156.17859999999999</v>
      </c>
      <c r="AN179" s="5">
        <v>688.25739999999996</v>
      </c>
    </row>
    <row r="180" spans="1:40" ht="16.5" x14ac:dyDescent="0.45">
      <c r="A180" s="1" t="s">
        <v>83</v>
      </c>
      <c r="B180" s="1" t="s">
        <v>84</v>
      </c>
      <c r="C180" s="1" t="s">
        <v>41</v>
      </c>
      <c r="D180" s="1" t="s">
        <v>50</v>
      </c>
      <c r="E180" s="1" t="s">
        <v>51</v>
      </c>
      <c r="F180" s="1" t="s">
        <v>50</v>
      </c>
      <c r="G180" s="1" t="s">
        <v>51</v>
      </c>
      <c r="H180" s="1" t="s">
        <v>52</v>
      </c>
      <c r="I180" s="1" t="s">
        <v>53</v>
      </c>
      <c r="J180" s="1">
        <f t="shared" si="2"/>
        <v>100</v>
      </c>
      <c r="K180" s="3">
        <v>1</v>
      </c>
      <c r="L180" s="4">
        <v>69.5</v>
      </c>
      <c r="M180" s="5">
        <v>4.2687999999999997</v>
      </c>
      <c r="N180">
        <v>99.76</v>
      </c>
      <c r="O180">
        <v>99.839999999999989</v>
      </c>
      <c r="P180" s="6">
        <v>0.99839999999999995</v>
      </c>
      <c r="Q180" s="6">
        <v>0.99839999999999995</v>
      </c>
      <c r="R180">
        <v>0.05</v>
      </c>
      <c r="S180">
        <v>0.1</v>
      </c>
      <c r="T180" s="7">
        <v>0</v>
      </c>
      <c r="U180" s="7">
        <v>0</v>
      </c>
      <c r="V180" s="7">
        <v>0</v>
      </c>
      <c r="W180" s="7">
        <v>0</v>
      </c>
      <c r="X180" s="3">
        <v>0.64</v>
      </c>
      <c r="Y180" s="6">
        <v>0.48709999999999998</v>
      </c>
      <c r="Z180" s="4">
        <v>-11.9</v>
      </c>
      <c r="AA180" s="4">
        <v>-95.46</v>
      </c>
      <c r="AB180" s="6">
        <v>0.99960000000000004</v>
      </c>
      <c r="AC180" s="7">
        <v>100</v>
      </c>
      <c r="AD180" s="3">
        <v>0.75</v>
      </c>
      <c r="AE180" s="6">
        <v>7.0000000000000001E-3</v>
      </c>
      <c r="AF180" s="6">
        <v>7.9399999999999998E-2</v>
      </c>
      <c r="AG180" s="7">
        <v>0</v>
      </c>
      <c r="AH180" s="7">
        <v>0</v>
      </c>
      <c r="AI180" s="7">
        <v>102</v>
      </c>
      <c r="AJ180" s="6">
        <v>0.99990000000000001</v>
      </c>
      <c r="AK180" s="7">
        <v>789501600</v>
      </c>
      <c r="AL180" s="5">
        <v>61.968299999999999</v>
      </c>
      <c r="AM180" s="5">
        <v>290.85509999999999</v>
      </c>
      <c r="AN180" s="5">
        <v>881.8827</v>
      </c>
    </row>
    <row r="181" spans="1:40" ht="16.5" x14ac:dyDescent="0.45">
      <c r="A181" s="1" t="s">
        <v>83</v>
      </c>
      <c r="B181" s="1" t="s">
        <v>84</v>
      </c>
      <c r="C181" s="1" t="s">
        <v>41</v>
      </c>
      <c r="D181" s="1" t="s">
        <v>50</v>
      </c>
      <c r="E181" s="1" t="s">
        <v>51</v>
      </c>
      <c r="F181" s="1" t="s">
        <v>50</v>
      </c>
      <c r="G181" s="1" t="s">
        <v>51</v>
      </c>
      <c r="H181" s="1" t="s">
        <v>54</v>
      </c>
      <c r="I181" s="1" t="s">
        <v>55</v>
      </c>
      <c r="J181" s="1">
        <f t="shared" si="2"/>
        <v>100</v>
      </c>
      <c r="K181" s="3">
        <v>1</v>
      </c>
      <c r="L181" s="4">
        <v>37.590000000000003</v>
      </c>
      <c r="M181" s="5">
        <v>4.3483000000000001</v>
      </c>
      <c r="N181">
        <v>99.660000000000011</v>
      </c>
      <c r="O181">
        <v>99.88</v>
      </c>
      <c r="P181" s="6">
        <v>0.99880000000000002</v>
      </c>
      <c r="Q181" s="6">
        <v>0.99890000000000001</v>
      </c>
      <c r="R181">
        <v>0.09</v>
      </c>
      <c r="S181">
        <v>0.05</v>
      </c>
      <c r="T181" s="7">
        <v>0</v>
      </c>
      <c r="U181" s="7">
        <v>0</v>
      </c>
      <c r="V181" s="7">
        <v>0</v>
      </c>
      <c r="W181" s="7">
        <v>0</v>
      </c>
      <c r="X181" s="6">
        <v>0.63400000000000001</v>
      </c>
      <c r="Y181" s="6">
        <v>0.31879999999999997</v>
      </c>
      <c r="Z181" s="4">
        <v>-10.99</v>
      </c>
      <c r="AA181" s="4">
        <v>-97.03</v>
      </c>
      <c r="AB181" s="6">
        <v>0.99960000000000004</v>
      </c>
      <c r="AD181" s="3">
        <v>0.5</v>
      </c>
      <c r="AE181" s="6">
        <v>6.7999999999999996E-3</v>
      </c>
      <c r="AF181" s="6">
        <v>5.6800000000000003E-2</v>
      </c>
      <c r="AG181" s="7">
        <v>0</v>
      </c>
      <c r="AH181" s="7">
        <v>0</v>
      </c>
      <c r="AI181" s="7">
        <v>35</v>
      </c>
      <c r="AJ181" s="3">
        <v>1</v>
      </c>
      <c r="AK181" s="7">
        <v>789501600</v>
      </c>
      <c r="AL181" s="5">
        <v>39.125</v>
      </c>
      <c r="AM181" s="5">
        <v>201.17760000000001</v>
      </c>
      <c r="AN181" s="5">
        <v>998.38580000000002</v>
      </c>
    </row>
    <row r="182" spans="1:40" ht="16.5" x14ac:dyDescent="0.45">
      <c r="A182" s="1" t="s">
        <v>83</v>
      </c>
      <c r="B182" s="1" t="s">
        <v>84</v>
      </c>
      <c r="C182" s="1" t="s">
        <v>41</v>
      </c>
      <c r="D182" s="1" t="s">
        <v>50</v>
      </c>
      <c r="E182" s="1" t="s">
        <v>51</v>
      </c>
      <c r="F182" s="1" t="s">
        <v>50</v>
      </c>
      <c r="G182" s="1" t="s">
        <v>51</v>
      </c>
      <c r="H182" s="1" t="s">
        <v>56</v>
      </c>
      <c r="I182" s="1" t="s">
        <v>57</v>
      </c>
      <c r="J182" s="1">
        <f t="shared" si="2"/>
        <v>100</v>
      </c>
      <c r="K182" s="3">
        <v>1</v>
      </c>
      <c r="L182" s="4">
        <v>58.98</v>
      </c>
      <c r="M182" s="5">
        <v>3.8656999999999999</v>
      </c>
      <c r="N182">
        <v>99.79</v>
      </c>
      <c r="O182">
        <v>99.77000000000001</v>
      </c>
      <c r="P182" s="6">
        <v>0.99770000000000003</v>
      </c>
      <c r="Q182" s="6">
        <v>0.99780000000000002</v>
      </c>
      <c r="R182">
        <v>0.12</v>
      </c>
      <c r="S182">
        <v>0.06</v>
      </c>
      <c r="T182" s="7">
        <v>0</v>
      </c>
      <c r="U182" s="7">
        <v>0</v>
      </c>
      <c r="V182" s="7">
        <v>0</v>
      </c>
      <c r="W182" s="7">
        <v>0</v>
      </c>
      <c r="X182" s="6">
        <v>0.64949999999999997</v>
      </c>
      <c r="Y182" s="6">
        <v>0.41410000000000002</v>
      </c>
      <c r="Z182" s="4">
        <v>-10.74</v>
      </c>
      <c r="AA182" s="4">
        <v>-94.66</v>
      </c>
      <c r="AB182" s="6">
        <v>0.99960000000000004</v>
      </c>
      <c r="AD182" s="6">
        <v>0.88890000000000002</v>
      </c>
      <c r="AE182" s="6">
        <v>6.1999999999999998E-3</v>
      </c>
      <c r="AF182" s="6">
        <v>5.3999999999999999E-2</v>
      </c>
      <c r="AG182" s="7">
        <v>0</v>
      </c>
      <c r="AH182" s="7">
        <v>0</v>
      </c>
      <c r="AI182" s="7">
        <v>39</v>
      </c>
      <c r="AJ182" s="3">
        <v>1</v>
      </c>
      <c r="AK182" s="7">
        <v>789501600</v>
      </c>
      <c r="AL182" s="5">
        <v>44.743400000000001</v>
      </c>
      <c r="AM182" s="5">
        <v>239.7079</v>
      </c>
      <c r="AN182" s="5">
        <v>800.36800000000005</v>
      </c>
    </row>
    <row r="183" spans="1:40" ht="16.5" x14ac:dyDescent="0.45">
      <c r="A183" s="1" t="s">
        <v>83</v>
      </c>
      <c r="B183" s="1" t="s">
        <v>84</v>
      </c>
      <c r="C183" s="1" t="s">
        <v>41</v>
      </c>
      <c r="D183" s="1" t="s">
        <v>50</v>
      </c>
      <c r="E183" s="1" t="s">
        <v>51</v>
      </c>
      <c r="F183" s="1" t="s">
        <v>50</v>
      </c>
      <c r="G183" s="1" t="s">
        <v>51</v>
      </c>
      <c r="H183" s="1" t="s">
        <v>58</v>
      </c>
      <c r="I183" s="1" t="s">
        <v>59</v>
      </c>
      <c r="J183" s="1">
        <f t="shared" si="2"/>
        <v>87.88</v>
      </c>
      <c r="K183" s="6">
        <v>0.87880000000000003</v>
      </c>
      <c r="L183" s="4">
        <v>34.9</v>
      </c>
      <c r="M183" s="5">
        <v>3.3273999999999999</v>
      </c>
      <c r="N183">
        <v>99.82</v>
      </c>
      <c r="O183">
        <v>99.81</v>
      </c>
      <c r="P183" s="6">
        <v>0.99809999999999999</v>
      </c>
      <c r="Q183" s="6">
        <v>0.99809999999999999</v>
      </c>
      <c r="R183">
        <v>0.1</v>
      </c>
      <c r="S183">
        <v>0.05</v>
      </c>
      <c r="T183" s="7">
        <v>0</v>
      </c>
      <c r="U183" s="7">
        <v>0</v>
      </c>
      <c r="V183" s="7">
        <v>0</v>
      </c>
      <c r="W183" s="7">
        <v>0</v>
      </c>
      <c r="X183" s="6">
        <v>0.4496</v>
      </c>
      <c r="Y183" s="6">
        <v>0.31390000000000001</v>
      </c>
      <c r="Z183" s="4">
        <v>-9.6</v>
      </c>
      <c r="AA183" s="4">
        <v>-99.71</v>
      </c>
      <c r="AB183" s="6">
        <v>0.99990000000000001</v>
      </c>
      <c r="AD183" s="3">
        <v>1</v>
      </c>
      <c r="AE183" s="6">
        <v>6.7000000000000002E-3</v>
      </c>
      <c r="AF183" s="6">
        <v>7.7600000000000002E-2</v>
      </c>
      <c r="AG183" s="7">
        <v>0</v>
      </c>
      <c r="AH183" s="7">
        <v>0</v>
      </c>
      <c r="AI183" s="7">
        <v>47</v>
      </c>
      <c r="AJ183" s="3">
        <v>1</v>
      </c>
      <c r="AK183" s="7">
        <v>789504218</v>
      </c>
      <c r="AL183" s="5">
        <v>34.135100000000001</v>
      </c>
      <c r="AM183" s="5">
        <v>209.6422</v>
      </c>
      <c r="AN183" s="5">
        <v>698.98969999999997</v>
      </c>
    </row>
    <row r="184" spans="1:40" ht="16.5" x14ac:dyDescent="0.45">
      <c r="A184" s="1" t="s">
        <v>84</v>
      </c>
      <c r="B184" s="1" t="s">
        <v>85</v>
      </c>
      <c r="C184" s="1" t="s">
        <v>41</v>
      </c>
      <c r="D184" s="1" t="s">
        <v>42</v>
      </c>
      <c r="E184" s="1" t="s">
        <v>43</v>
      </c>
      <c r="F184" s="1" t="s">
        <v>42</v>
      </c>
      <c r="G184" s="1" t="s">
        <v>43</v>
      </c>
      <c r="H184" s="1" t="s">
        <v>44</v>
      </c>
      <c r="I184" s="1" t="s">
        <v>45</v>
      </c>
      <c r="J184" s="1">
        <f t="shared" si="2"/>
        <v>100</v>
      </c>
      <c r="K184" s="3">
        <v>1</v>
      </c>
      <c r="L184" s="4">
        <v>34.619999999999997</v>
      </c>
      <c r="M184" s="5">
        <v>3.1002999999999998</v>
      </c>
      <c r="N184">
        <v>99.65</v>
      </c>
      <c r="O184">
        <v>99.78</v>
      </c>
      <c r="P184" s="6">
        <v>0.99780000000000002</v>
      </c>
      <c r="Q184" s="6">
        <v>0.99770000000000003</v>
      </c>
      <c r="R184">
        <v>0.05</v>
      </c>
      <c r="S184">
        <v>6.9999999999999993E-2</v>
      </c>
      <c r="T184" s="7">
        <v>0</v>
      </c>
      <c r="U184" s="7">
        <v>0</v>
      </c>
      <c r="V184" s="7">
        <v>0</v>
      </c>
      <c r="W184" s="7">
        <v>0</v>
      </c>
      <c r="X184" s="6">
        <v>0.44469999999999998</v>
      </c>
      <c r="Y184" s="6">
        <v>0.1774</v>
      </c>
      <c r="Z184" s="4">
        <v>-10.19</v>
      </c>
      <c r="AA184" s="4">
        <v>-98.08</v>
      </c>
      <c r="AB184" s="6">
        <v>0.99980000000000002</v>
      </c>
      <c r="AC184" s="4">
        <v>85.71</v>
      </c>
      <c r="AD184" s="3">
        <v>1</v>
      </c>
      <c r="AE184" s="6">
        <v>4.0000000000000001E-3</v>
      </c>
      <c r="AF184" s="6">
        <v>5.2600000000000001E-2</v>
      </c>
      <c r="AG184" s="7">
        <v>0</v>
      </c>
      <c r="AH184" s="7">
        <v>0</v>
      </c>
      <c r="AI184" s="7">
        <v>41</v>
      </c>
      <c r="AJ184" s="6">
        <v>0.99990000000000001</v>
      </c>
      <c r="AK184" s="7">
        <v>789501600</v>
      </c>
      <c r="AL184" s="5">
        <v>33.986699999999999</v>
      </c>
      <c r="AM184" s="5">
        <v>163.05760000000001</v>
      </c>
      <c r="AN184" s="5">
        <v>675.48889999999994</v>
      </c>
    </row>
    <row r="185" spans="1:40" ht="16.5" x14ac:dyDescent="0.45">
      <c r="A185" s="1" t="s">
        <v>84</v>
      </c>
      <c r="B185" s="1" t="s">
        <v>85</v>
      </c>
      <c r="C185" s="1" t="s">
        <v>41</v>
      </c>
      <c r="D185" s="1" t="s">
        <v>42</v>
      </c>
      <c r="E185" s="1" t="s">
        <v>43</v>
      </c>
      <c r="F185" s="1" t="s">
        <v>42</v>
      </c>
      <c r="G185" s="1" t="s">
        <v>43</v>
      </c>
      <c r="H185" s="1" t="s">
        <v>46</v>
      </c>
      <c r="I185" s="1" t="s">
        <v>47</v>
      </c>
      <c r="J185" s="1">
        <f t="shared" si="2"/>
        <v>100</v>
      </c>
      <c r="K185" s="3">
        <v>1</v>
      </c>
      <c r="L185" s="4">
        <v>23.76</v>
      </c>
      <c r="M185" s="5">
        <v>2.4180000000000001</v>
      </c>
      <c r="N185">
        <v>99.550000000000011</v>
      </c>
      <c r="O185">
        <v>99.7</v>
      </c>
      <c r="P185" s="6">
        <v>0.997</v>
      </c>
      <c r="Q185" s="6">
        <v>0.99719999999999998</v>
      </c>
      <c r="R185">
        <v>6.9999999999999993E-2</v>
      </c>
      <c r="S185">
        <v>0.12</v>
      </c>
      <c r="T185" s="7">
        <v>0</v>
      </c>
      <c r="U185" s="7">
        <v>0</v>
      </c>
      <c r="V185" s="7">
        <v>0</v>
      </c>
      <c r="W185" s="7">
        <v>0</v>
      </c>
      <c r="X185" s="6">
        <v>0.34410000000000002</v>
      </c>
      <c r="Y185" s="6">
        <v>0.14069999999999999</v>
      </c>
      <c r="Z185" s="4">
        <v>-9.36</v>
      </c>
      <c r="AA185" s="4">
        <v>-98.6</v>
      </c>
      <c r="AB185" s="6">
        <v>0.99960000000000004</v>
      </c>
      <c r="AD185" s="3">
        <v>1</v>
      </c>
      <c r="AE185" s="6">
        <v>6.4000000000000003E-3</v>
      </c>
      <c r="AF185" s="6">
        <v>5.1200000000000002E-2</v>
      </c>
      <c r="AG185" s="7">
        <v>0</v>
      </c>
      <c r="AH185" s="7">
        <v>0</v>
      </c>
      <c r="AI185" s="7">
        <v>64</v>
      </c>
      <c r="AJ185" s="6">
        <v>0.99990000000000001</v>
      </c>
      <c r="AK185" s="7">
        <v>789501600</v>
      </c>
      <c r="AL185" s="5">
        <v>29.275099999999998</v>
      </c>
      <c r="AM185" s="5">
        <v>125.1418</v>
      </c>
      <c r="AN185" s="5">
        <v>526.54319999999996</v>
      </c>
    </row>
    <row r="186" spans="1:40" ht="16.5" x14ac:dyDescent="0.45">
      <c r="A186" s="1" t="s">
        <v>84</v>
      </c>
      <c r="B186" s="1" t="s">
        <v>85</v>
      </c>
      <c r="C186" s="1" t="s">
        <v>41</v>
      </c>
      <c r="D186" s="1" t="s">
        <v>42</v>
      </c>
      <c r="E186" s="1" t="s">
        <v>43</v>
      </c>
      <c r="F186" s="1" t="s">
        <v>42</v>
      </c>
      <c r="G186" s="1" t="s">
        <v>43</v>
      </c>
      <c r="H186" s="1" t="s">
        <v>48</v>
      </c>
      <c r="I186" s="1" t="s">
        <v>49</v>
      </c>
      <c r="J186" s="1">
        <f t="shared" si="2"/>
        <v>100</v>
      </c>
      <c r="K186" s="3">
        <v>1</v>
      </c>
      <c r="L186" s="4">
        <v>31.03</v>
      </c>
      <c r="M186" s="5">
        <v>3.3403999999999998</v>
      </c>
      <c r="N186">
        <v>99.25</v>
      </c>
      <c r="O186">
        <v>99.79</v>
      </c>
      <c r="P186" s="6">
        <v>0.99790000000000001</v>
      </c>
      <c r="Q186" s="6">
        <v>0.99790000000000001</v>
      </c>
      <c r="R186">
        <v>0</v>
      </c>
      <c r="S186">
        <v>0.05</v>
      </c>
      <c r="T186" s="7">
        <v>0</v>
      </c>
      <c r="U186" s="7">
        <v>0</v>
      </c>
      <c r="V186" s="7">
        <v>0</v>
      </c>
      <c r="W186" s="7">
        <v>0</v>
      </c>
      <c r="X186" s="6">
        <v>0.4859</v>
      </c>
      <c r="Y186" s="6">
        <v>0.16769999999999999</v>
      </c>
      <c r="Z186" s="4">
        <v>-9.64</v>
      </c>
      <c r="AA186" s="4">
        <v>-98.4</v>
      </c>
      <c r="AB186" s="6">
        <v>0.99980000000000002</v>
      </c>
      <c r="AC186" s="4">
        <v>86.67</v>
      </c>
      <c r="AD186" s="6">
        <v>0.88329999999999997</v>
      </c>
      <c r="AE186" s="6">
        <v>4.7000000000000002E-3</v>
      </c>
      <c r="AF186" s="6">
        <v>4.87E-2</v>
      </c>
      <c r="AG186" s="7">
        <v>0</v>
      </c>
      <c r="AH186" s="7">
        <v>0</v>
      </c>
      <c r="AI186" s="7">
        <v>31</v>
      </c>
      <c r="AJ186" s="6">
        <v>0.99960000000000004</v>
      </c>
      <c r="AK186" s="7">
        <v>789501600</v>
      </c>
      <c r="AL186" s="5">
        <v>32.978299999999997</v>
      </c>
      <c r="AM186" s="5">
        <v>159.03729999999999</v>
      </c>
      <c r="AN186" s="5">
        <v>769.06830000000002</v>
      </c>
    </row>
    <row r="187" spans="1:40" ht="16.5" x14ac:dyDescent="0.45">
      <c r="A187" s="1" t="s">
        <v>84</v>
      </c>
      <c r="B187" s="1" t="s">
        <v>85</v>
      </c>
      <c r="C187" s="1" t="s">
        <v>41</v>
      </c>
      <c r="D187" s="1" t="s">
        <v>50</v>
      </c>
      <c r="E187" s="1" t="s">
        <v>51</v>
      </c>
      <c r="F187" s="1" t="s">
        <v>50</v>
      </c>
      <c r="G187" s="1" t="s">
        <v>51</v>
      </c>
      <c r="H187" s="1" t="s">
        <v>52</v>
      </c>
      <c r="I187" s="1" t="s">
        <v>53</v>
      </c>
      <c r="J187" s="1">
        <f t="shared" si="2"/>
        <v>100</v>
      </c>
      <c r="K187" s="3">
        <v>1</v>
      </c>
      <c r="L187" s="4">
        <v>70.5</v>
      </c>
      <c r="M187" s="5">
        <v>4.2584</v>
      </c>
      <c r="N187">
        <v>99.660000000000011</v>
      </c>
      <c r="O187">
        <v>99.77000000000001</v>
      </c>
      <c r="P187" s="6">
        <v>0.99770000000000003</v>
      </c>
      <c r="Q187" s="6">
        <v>0.99760000000000004</v>
      </c>
      <c r="R187">
        <v>0.1</v>
      </c>
      <c r="S187">
        <v>0.11</v>
      </c>
      <c r="T187" s="7">
        <v>0</v>
      </c>
      <c r="U187" s="7">
        <v>0</v>
      </c>
      <c r="V187" s="7">
        <v>0</v>
      </c>
      <c r="W187" s="7">
        <v>0</v>
      </c>
      <c r="X187" s="6">
        <v>0.6663</v>
      </c>
      <c r="Y187" s="6">
        <v>0.48570000000000002</v>
      </c>
      <c r="Z187" s="4">
        <v>-12.15</v>
      </c>
      <c r="AA187" s="4">
        <v>-95.51</v>
      </c>
      <c r="AB187" s="6">
        <v>0.99960000000000004</v>
      </c>
      <c r="AC187" s="7">
        <v>100</v>
      </c>
      <c r="AD187" s="3">
        <v>0.8</v>
      </c>
      <c r="AE187" s="6">
        <v>7.1000000000000004E-3</v>
      </c>
      <c r="AF187" s="6">
        <v>8.7499999999999994E-2</v>
      </c>
      <c r="AG187" s="7">
        <v>0</v>
      </c>
      <c r="AH187" s="7">
        <v>0</v>
      </c>
      <c r="AI187" s="7">
        <v>91</v>
      </c>
      <c r="AJ187" s="3">
        <v>1</v>
      </c>
      <c r="AK187" s="7">
        <v>789501600</v>
      </c>
      <c r="AL187" s="5">
        <v>62.091700000000003</v>
      </c>
      <c r="AM187" s="5">
        <v>276.8974</v>
      </c>
      <c r="AN187" s="5">
        <v>879.09950000000003</v>
      </c>
    </row>
    <row r="188" spans="1:40" ht="16.5" x14ac:dyDescent="0.45">
      <c r="A188" s="1" t="s">
        <v>84</v>
      </c>
      <c r="B188" s="1" t="s">
        <v>85</v>
      </c>
      <c r="C188" s="1" t="s">
        <v>41</v>
      </c>
      <c r="D188" s="1" t="s">
        <v>50</v>
      </c>
      <c r="E188" s="1" t="s">
        <v>51</v>
      </c>
      <c r="F188" s="1" t="s">
        <v>50</v>
      </c>
      <c r="G188" s="1" t="s">
        <v>51</v>
      </c>
      <c r="H188" s="1" t="s">
        <v>54</v>
      </c>
      <c r="I188" s="1" t="s">
        <v>55</v>
      </c>
      <c r="J188" s="1">
        <f t="shared" si="2"/>
        <v>100</v>
      </c>
      <c r="K188" s="3">
        <v>1</v>
      </c>
      <c r="L188" s="4">
        <v>39.68</v>
      </c>
      <c r="M188" s="5">
        <v>3.8565</v>
      </c>
      <c r="N188">
        <v>99.64</v>
      </c>
      <c r="O188">
        <v>99.87</v>
      </c>
      <c r="P188" s="6">
        <v>0.99870000000000003</v>
      </c>
      <c r="Q188" s="6">
        <v>0.99870000000000003</v>
      </c>
      <c r="R188">
        <v>0</v>
      </c>
      <c r="S188">
        <v>0.06</v>
      </c>
      <c r="T188" s="7">
        <v>0</v>
      </c>
      <c r="U188" s="7">
        <v>0</v>
      </c>
      <c r="V188" s="7">
        <v>0</v>
      </c>
      <c r="W188" s="7">
        <v>0</v>
      </c>
      <c r="X188" s="6">
        <v>0.55630000000000002</v>
      </c>
      <c r="Y188" s="6">
        <v>0.32240000000000002</v>
      </c>
      <c r="Z188" s="4">
        <v>-10.44</v>
      </c>
      <c r="AA188" s="4">
        <v>-96.93</v>
      </c>
      <c r="AB188" s="6">
        <v>0.99950000000000006</v>
      </c>
      <c r="AD188" s="3">
        <v>1</v>
      </c>
      <c r="AE188" s="6">
        <v>6.1999999999999998E-3</v>
      </c>
      <c r="AF188" s="6">
        <v>5.2499999999999998E-2</v>
      </c>
      <c r="AG188" s="7">
        <v>0</v>
      </c>
      <c r="AH188" s="7">
        <v>0</v>
      </c>
      <c r="AI188" s="7">
        <v>38</v>
      </c>
      <c r="AJ188" s="3">
        <v>1</v>
      </c>
      <c r="AK188" s="7">
        <v>789501600</v>
      </c>
      <c r="AL188" s="5">
        <v>38.35</v>
      </c>
      <c r="AM188" s="5">
        <v>244.61799999999999</v>
      </c>
      <c r="AN188" s="5">
        <v>806.22739999999999</v>
      </c>
    </row>
    <row r="189" spans="1:40" ht="16.5" x14ac:dyDescent="0.45">
      <c r="A189" s="1" t="s">
        <v>84</v>
      </c>
      <c r="B189" s="1" t="s">
        <v>85</v>
      </c>
      <c r="C189" s="1" t="s">
        <v>41</v>
      </c>
      <c r="D189" s="1" t="s">
        <v>50</v>
      </c>
      <c r="E189" s="1" t="s">
        <v>51</v>
      </c>
      <c r="F189" s="1" t="s">
        <v>50</v>
      </c>
      <c r="G189" s="1" t="s">
        <v>51</v>
      </c>
      <c r="H189" s="1" t="s">
        <v>56</v>
      </c>
      <c r="I189" s="1" t="s">
        <v>57</v>
      </c>
      <c r="J189" s="1">
        <f t="shared" si="2"/>
        <v>100</v>
      </c>
      <c r="K189" s="3">
        <v>1</v>
      </c>
      <c r="L189" s="4">
        <v>68.099999999999994</v>
      </c>
      <c r="M189" s="5">
        <v>4.5561999999999996</v>
      </c>
      <c r="N189">
        <v>99.6</v>
      </c>
      <c r="O189">
        <v>99.88</v>
      </c>
      <c r="P189" s="6">
        <v>0.99880000000000002</v>
      </c>
      <c r="Q189" s="6">
        <v>0.99880000000000002</v>
      </c>
      <c r="R189">
        <v>0</v>
      </c>
      <c r="S189">
        <v>0.06</v>
      </c>
      <c r="T189" s="7">
        <v>0</v>
      </c>
      <c r="U189" s="7">
        <v>0</v>
      </c>
      <c r="V189" s="7">
        <v>0</v>
      </c>
      <c r="W189" s="7">
        <v>0</v>
      </c>
      <c r="X189" s="6">
        <v>0.7107</v>
      </c>
      <c r="Y189" s="6">
        <v>0.50800000000000001</v>
      </c>
      <c r="Z189" s="4">
        <v>-11.38</v>
      </c>
      <c r="AA189" s="4">
        <v>-94.4</v>
      </c>
      <c r="AB189" s="6">
        <v>0.99960000000000004</v>
      </c>
      <c r="AD189" s="6">
        <v>0.88890000000000002</v>
      </c>
      <c r="AE189" s="6">
        <v>5.7000000000000002E-3</v>
      </c>
      <c r="AF189" s="6">
        <v>5.0700000000000002E-2</v>
      </c>
      <c r="AG189" s="7">
        <v>0</v>
      </c>
      <c r="AH189" s="7">
        <v>0</v>
      </c>
      <c r="AI189" s="7">
        <v>38</v>
      </c>
      <c r="AJ189" s="3">
        <v>1</v>
      </c>
      <c r="AK189" s="7">
        <v>789501600</v>
      </c>
      <c r="AL189" s="5">
        <v>54.486699999999999</v>
      </c>
      <c r="AM189" s="5">
        <v>320.57850000000002</v>
      </c>
      <c r="AN189" s="5">
        <v>899.91489999999999</v>
      </c>
    </row>
    <row r="190" spans="1:40" ht="16.5" x14ac:dyDescent="0.45">
      <c r="A190" s="1" t="s">
        <v>84</v>
      </c>
      <c r="B190" s="1" t="s">
        <v>85</v>
      </c>
      <c r="C190" s="1" t="s">
        <v>41</v>
      </c>
      <c r="D190" s="1" t="s">
        <v>50</v>
      </c>
      <c r="E190" s="1" t="s">
        <v>51</v>
      </c>
      <c r="F190" s="1" t="s">
        <v>50</v>
      </c>
      <c r="G190" s="1" t="s">
        <v>51</v>
      </c>
      <c r="H190" s="1" t="s">
        <v>58</v>
      </c>
      <c r="I190" s="1" t="s">
        <v>59</v>
      </c>
      <c r="J190" s="1">
        <f t="shared" si="2"/>
        <v>100</v>
      </c>
      <c r="K190" s="3">
        <v>1</v>
      </c>
      <c r="L190" s="4">
        <v>39.880000000000003</v>
      </c>
      <c r="M190" s="5">
        <v>4.0414000000000003</v>
      </c>
      <c r="N190">
        <v>99.8</v>
      </c>
      <c r="O190">
        <v>99.91</v>
      </c>
      <c r="P190" s="6">
        <v>0.99909999999999999</v>
      </c>
      <c r="Q190" s="6">
        <v>0.99909999999999999</v>
      </c>
      <c r="R190">
        <v>0</v>
      </c>
      <c r="S190">
        <v>0.05</v>
      </c>
      <c r="T190" s="7">
        <v>0</v>
      </c>
      <c r="U190" s="7">
        <v>0</v>
      </c>
      <c r="V190" s="7">
        <v>0</v>
      </c>
      <c r="W190" s="7">
        <v>0</v>
      </c>
      <c r="X190" s="6">
        <v>0.49490000000000001</v>
      </c>
      <c r="Y190" s="6">
        <v>0.37319999999999998</v>
      </c>
      <c r="Z190" s="4">
        <v>-9.91</v>
      </c>
      <c r="AA190" s="4">
        <v>-99.99</v>
      </c>
      <c r="AB190" s="6">
        <v>0.99990000000000001</v>
      </c>
      <c r="AD190" s="3">
        <v>1</v>
      </c>
      <c r="AE190" s="6">
        <v>6.1999999999999998E-3</v>
      </c>
      <c r="AF190" s="6">
        <v>6.9099999999999995E-2</v>
      </c>
      <c r="AG190" s="7">
        <v>0</v>
      </c>
      <c r="AH190" s="7">
        <v>0</v>
      </c>
      <c r="AI190" s="7">
        <v>43</v>
      </c>
      <c r="AJ190" s="3">
        <v>1</v>
      </c>
      <c r="AK190" s="7">
        <v>789501600</v>
      </c>
      <c r="AL190" s="5">
        <v>37.5017</v>
      </c>
      <c r="AM190" s="5">
        <v>216.4083</v>
      </c>
      <c r="AN190" s="5">
        <v>895.22529999999995</v>
      </c>
    </row>
    <row r="191" spans="1:40" ht="16.5" x14ac:dyDescent="0.45">
      <c r="A191" s="1" t="s">
        <v>85</v>
      </c>
      <c r="B191" s="1" t="s">
        <v>86</v>
      </c>
      <c r="C191" s="1" t="s">
        <v>41</v>
      </c>
      <c r="D191" s="1" t="s">
        <v>42</v>
      </c>
      <c r="E191" s="1" t="s">
        <v>43</v>
      </c>
      <c r="F191" s="1" t="s">
        <v>42</v>
      </c>
      <c r="G191" s="1" t="s">
        <v>43</v>
      </c>
      <c r="H191" s="1" t="s">
        <v>44</v>
      </c>
      <c r="I191" s="1" t="s">
        <v>45</v>
      </c>
      <c r="J191" s="1">
        <f t="shared" si="2"/>
        <v>100</v>
      </c>
      <c r="K191" s="3">
        <v>1</v>
      </c>
      <c r="L191" s="4">
        <v>31.88</v>
      </c>
      <c r="M191" s="5">
        <v>3.3151000000000002</v>
      </c>
      <c r="N191">
        <v>99.89</v>
      </c>
      <c r="O191">
        <v>99.86</v>
      </c>
      <c r="P191" s="6">
        <v>0.99860000000000004</v>
      </c>
      <c r="Q191" s="6">
        <v>0.99860000000000004</v>
      </c>
      <c r="R191">
        <v>0.05</v>
      </c>
      <c r="S191">
        <v>0.09</v>
      </c>
      <c r="T191" s="7">
        <v>0</v>
      </c>
      <c r="U191" s="7">
        <v>0</v>
      </c>
      <c r="V191" s="7">
        <v>0</v>
      </c>
      <c r="W191" s="7">
        <v>0</v>
      </c>
      <c r="X191" s="6">
        <v>0.46560000000000001</v>
      </c>
      <c r="Y191" s="6">
        <v>0.1799</v>
      </c>
      <c r="Z191" s="4">
        <v>-10.48</v>
      </c>
      <c r="AA191" s="4">
        <v>-98.03</v>
      </c>
      <c r="AB191" s="6">
        <v>0.99950000000000006</v>
      </c>
      <c r="AC191" s="7">
        <v>100</v>
      </c>
      <c r="AD191" s="3">
        <v>1</v>
      </c>
      <c r="AE191" s="6">
        <v>5.4000000000000003E-3</v>
      </c>
      <c r="AF191" s="6">
        <v>6.2700000000000006E-2</v>
      </c>
      <c r="AG191" s="7">
        <v>0</v>
      </c>
      <c r="AH191" s="7">
        <v>0</v>
      </c>
      <c r="AI191" s="7">
        <v>47</v>
      </c>
      <c r="AJ191" s="6">
        <v>0.99990000000000001</v>
      </c>
      <c r="AK191" s="7">
        <v>789501600</v>
      </c>
      <c r="AL191" s="5">
        <v>36.488300000000002</v>
      </c>
      <c r="AM191" s="5">
        <v>173.398</v>
      </c>
      <c r="AN191" s="5">
        <v>728.61990000000003</v>
      </c>
    </row>
    <row r="192" spans="1:40" ht="16.5" x14ac:dyDescent="0.45">
      <c r="A192" s="1" t="s">
        <v>85</v>
      </c>
      <c r="B192" s="1" t="s">
        <v>86</v>
      </c>
      <c r="C192" s="1" t="s">
        <v>41</v>
      </c>
      <c r="D192" s="1" t="s">
        <v>42</v>
      </c>
      <c r="E192" s="1" t="s">
        <v>43</v>
      </c>
      <c r="F192" s="1" t="s">
        <v>42</v>
      </c>
      <c r="G192" s="1" t="s">
        <v>43</v>
      </c>
      <c r="H192" s="1" t="s">
        <v>46</v>
      </c>
      <c r="I192" s="1" t="s">
        <v>47</v>
      </c>
      <c r="J192" s="1">
        <f t="shared" si="2"/>
        <v>100</v>
      </c>
      <c r="K192" s="3">
        <v>1</v>
      </c>
      <c r="L192" s="4">
        <v>24.85</v>
      </c>
      <c r="M192" s="5">
        <v>2.2852000000000001</v>
      </c>
      <c r="N192">
        <v>99.75</v>
      </c>
      <c r="O192">
        <v>99.8</v>
      </c>
      <c r="P192" s="6">
        <v>0.998</v>
      </c>
      <c r="Q192" s="6">
        <v>0.99809999999999999</v>
      </c>
      <c r="R192">
        <v>0</v>
      </c>
      <c r="S192">
        <v>0.09</v>
      </c>
      <c r="T192" s="7">
        <v>0</v>
      </c>
      <c r="U192" s="7">
        <v>0</v>
      </c>
      <c r="V192" s="7">
        <v>0</v>
      </c>
      <c r="W192" s="7">
        <v>0</v>
      </c>
      <c r="X192" s="6">
        <v>0.35770000000000002</v>
      </c>
      <c r="Y192" s="6">
        <v>0.12470000000000001</v>
      </c>
      <c r="Z192" s="4">
        <v>-9.48</v>
      </c>
      <c r="AA192" s="4">
        <v>-99.43</v>
      </c>
      <c r="AB192" s="6">
        <v>0.99980000000000002</v>
      </c>
      <c r="AD192" s="3">
        <v>1</v>
      </c>
      <c r="AE192" s="6">
        <v>5.4000000000000003E-3</v>
      </c>
      <c r="AF192" s="6">
        <v>5.8700000000000002E-2</v>
      </c>
      <c r="AG192" s="7">
        <v>0</v>
      </c>
      <c r="AH192" s="7">
        <v>0</v>
      </c>
      <c r="AI192" s="7">
        <v>55</v>
      </c>
      <c r="AJ192" s="3">
        <v>1</v>
      </c>
      <c r="AK192" s="7">
        <v>789501600</v>
      </c>
      <c r="AL192" s="5">
        <v>23.851700000000001</v>
      </c>
      <c r="AM192" s="5">
        <v>106.60550000000001</v>
      </c>
      <c r="AN192" s="5">
        <v>511.31630000000001</v>
      </c>
    </row>
    <row r="193" spans="1:40" ht="16.5" x14ac:dyDescent="0.45">
      <c r="A193" s="1" t="s">
        <v>85</v>
      </c>
      <c r="B193" s="1" t="s">
        <v>86</v>
      </c>
      <c r="C193" s="1" t="s">
        <v>41</v>
      </c>
      <c r="D193" s="1" t="s">
        <v>42</v>
      </c>
      <c r="E193" s="1" t="s">
        <v>43</v>
      </c>
      <c r="F193" s="1" t="s">
        <v>42</v>
      </c>
      <c r="G193" s="1" t="s">
        <v>43</v>
      </c>
      <c r="H193" s="1" t="s">
        <v>48</v>
      </c>
      <c r="I193" s="1" t="s">
        <v>49</v>
      </c>
      <c r="J193" s="1">
        <f t="shared" si="2"/>
        <v>100</v>
      </c>
      <c r="K193" s="3">
        <v>1</v>
      </c>
      <c r="L193" s="4">
        <v>28.84</v>
      </c>
      <c r="M193" s="5">
        <v>3.2473000000000001</v>
      </c>
      <c r="N193">
        <v>99.77000000000001</v>
      </c>
      <c r="O193">
        <v>99.82</v>
      </c>
      <c r="P193" s="6">
        <v>0.99819999999999998</v>
      </c>
      <c r="Q193" s="6">
        <v>0.99809999999999999</v>
      </c>
      <c r="R193">
        <v>0</v>
      </c>
      <c r="S193">
        <v>0.09</v>
      </c>
      <c r="T193" s="7">
        <v>0</v>
      </c>
      <c r="U193" s="7">
        <v>0</v>
      </c>
      <c r="V193" s="7">
        <v>0</v>
      </c>
      <c r="W193" s="7">
        <v>0</v>
      </c>
      <c r="X193" s="6">
        <v>0.55059999999999998</v>
      </c>
      <c r="Y193" s="6">
        <v>0.19950000000000001</v>
      </c>
      <c r="Z193" s="4">
        <v>-9.8699999999999992</v>
      </c>
      <c r="AA193" s="4">
        <v>-98.45</v>
      </c>
      <c r="AB193" s="6">
        <v>0.999</v>
      </c>
      <c r="AC193" s="7">
        <v>75</v>
      </c>
      <c r="AD193" s="3">
        <v>0.94</v>
      </c>
      <c r="AE193" s="6">
        <v>4.7000000000000002E-3</v>
      </c>
      <c r="AF193" s="6">
        <v>4.8300000000000003E-2</v>
      </c>
      <c r="AG193" s="7">
        <v>0</v>
      </c>
      <c r="AH193" s="7">
        <v>0</v>
      </c>
      <c r="AI193" s="7">
        <v>39</v>
      </c>
      <c r="AJ193" s="6">
        <v>0.99960000000000004</v>
      </c>
      <c r="AK193" s="7">
        <v>789501600</v>
      </c>
      <c r="AL193" s="5">
        <v>36.181699999999999</v>
      </c>
      <c r="AM193" s="5">
        <v>149.71350000000001</v>
      </c>
      <c r="AN193" s="5">
        <v>748.91250000000002</v>
      </c>
    </row>
    <row r="194" spans="1:40" ht="16.5" x14ac:dyDescent="0.45">
      <c r="A194" s="1" t="s">
        <v>85</v>
      </c>
      <c r="B194" s="1" t="s">
        <v>86</v>
      </c>
      <c r="C194" s="1" t="s">
        <v>41</v>
      </c>
      <c r="D194" s="1" t="s">
        <v>50</v>
      </c>
      <c r="E194" s="1" t="s">
        <v>51</v>
      </c>
      <c r="F194" s="1" t="s">
        <v>50</v>
      </c>
      <c r="G194" s="1" t="s">
        <v>51</v>
      </c>
      <c r="H194" s="1" t="s">
        <v>52</v>
      </c>
      <c r="I194" s="1" t="s">
        <v>53</v>
      </c>
      <c r="J194" s="1">
        <f t="shared" si="2"/>
        <v>100</v>
      </c>
      <c r="K194" s="3">
        <v>1</v>
      </c>
      <c r="L194" s="4">
        <v>66.05</v>
      </c>
      <c r="M194" s="5">
        <v>4.5174000000000003</v>
      </c>
      <c r="N194">
        <v>99.59</v>
      </c>
      <c r="O194">
        <v>99.78</v>
      </c>
      <c r="P194" s="6">
        <v>0.99780000000000002</v>
      </c>
      <c r="Q194" s="6">
        <v>0.99770000000000003</v>
      </c>
      <c r="R194">
        <v>0.15</v>
      </c>
      <c r="S194">
        <v>0.11</v>
      </c>
      <c r="T194" s="7">
        <v>0</v>
      </c>
      <c r="U194" s="7">
        <v>0</v>
      </c>
      <c r="V194" s="7">
        <v>0</v>
      </c>
      <c r="W194" s="7">
        <v>0</v>
      </c>
      <c r="X194" s="6">
        <v>0.66790000000000005</v>
      </c>
      <c r="Y194" s="6">
        <v>0.50590000000000002</v>
      </c>
      <c r="Z194" s="4">
        <v>-12.09</v>
      </c>
      <c r="AA194" s="4">
        <v>-95.2</v>
      </c>
      <c r="AB194" s="6">
        <v>0.99970000000000003</v>
      </c>
      <c r="AC194" s="7">
        <v>100</v>
      </c>
      <c r="AD194" s="3">
        <v>1</v>
      </c>
      <c r="AE194" s="6">
        <v>6.4999999999999997E-3</v>
      </c>
      <c r="AF194" s="6">
        <v>7.7499999999999999E-2</v>
      </c>
      <c r="AG194" s="7">
        <v>0</v>
      </c>
      <c r="AH194" s="7">
        <v>0</v>
      </c>
      <c r="AI194" s="7">
        <v>98</v>
      </c>
      <c r="AJ194" s="3">
        <v>1</v>
      </c>
      <c r="AK194" s="7">
        <v>789501600</v>
      </c>
      <c r="AL194" s="5">
        <v>64.08</v>
      </c>
      <c r="AM194" s="5">
        <v>297.02069999999998</v>
      </c>
      <c r="AN194" s="5">
        <v>936.48299999999995</v>
      </c>
    </row>
    <row r="195" spans="1:40" ht="16.5" x14ac:dyDescent="0.45">
      <c r="A195" s="1" t="s">
        <v>85</v>
      </c>
      <c r="B195" s="1" t="s">
        <v>86</v>
      </c>
      <c r="C195" s="1" t="s">
        <v>41</v>
      </c>
      <c r="D195" s="1" t="s">
        <v>50</v>
      </c>
      <c r="E195" s="1" t="s">
        <v>51</v>
      </c>
      <c r="F195" s="1" t="s">
        <v>50</v>
      </c>
      <c r="G195" s="1" t="s">
        <v>51</v>
      </c>
      <c r="H195" s="1" t="s">
        <v>54</v>
      </c>
      <c r="I195" s="1" t="s">
        <v>55</v>
      </c>
      <c r="J195" s="1">
        <f t="shared" ref="J195:J258" si="3">K195*100</f>
        <v>100</v>
      </c>
      <c r="K195" s="3">
        <v>1</v>
      </c>
      <c r="L195" s="4">
        <v>37.82</v>
      </c>
      <c r="M195" s="5">
        <v>3.9847000000000001</v>
      </c>
      <c r="N195">
        <v>99.92</v>
      </c>
      <c r="O195">
        <v>99.88</v>
      </c>
      <c r="P195" s="6">
        <v>0.99880000000000002</v>
      </c>
      <c r="Q195" s="6">
        <v>0.99880000000000002</v>
      </c>
      <c r="R195">
        <v>0.18</v>
      </c>
      <c r="S195">
        <v>6.9999999999999993E-2</v>
      </c>
      <c r="T195" s="7">
        <v>0</v>
      </c>
      <c r="U195" s="7">
        <v>0</v>
      </c>
      <c r="V195" s="7">
        <v>0</v>
      </c>
      <c r="W195" s="7">
        <v>0</v>
      </c>
      <c r="X195" s="6">
        <v>0.60640000000000005</v>
      </c>
      <c r="Y195" s="6">
        <v>0.30420000000000003</v>
      </c>
      <c r="Z195" s="4">
        <v>-10.96</v>
      </c>
      <c r="AA195" s="4">
        <v>-96.53</v>
      </c>
      <c r="AB195" s="6">
        <v>0.99970000000000003</v>
      </c>
      <c r="AD195" s="3">
        <v>1</v>
      </c>
      <c r="AE195" s="6">
        <v>6.1000000000000004E-3</v>
      </c>
      <c r="AF195" s="6">
        <v>5.7000000000000002E-2</v>
      </c>
      <c r="AG195" s="7">
        <v>0</v>
      </c>
      <c r="AH195" s="7">
        <v>0</v>
      </c>
      <c r="AI195" s="7">
        <v>49</v>
      </c>
      <c r="AJ195" s="3">
        <v>1</v>
      </c>
      <c r="AK195" s="7">
        <v>789501600</v>
      </c>
      <c r="AL195" s="5">
        <v>39.1267</v>
      </c>
      <c r="AM195" s="5">
        <v>216.9965</v>
      </c>
      <c r="AN195" s="5">
        <v>862.9203</v>
      </c>
    </row>
    <row r="196" spans="1:40" ht="16.5" x14ac:dyDescent="0.45">
      <c r="A196" s="1" t="s">
        <v>85</v>
      </c>
      <c r="B196" s="1" t="s">
        <v>86</v>
      </c>
      <c r="C196" s="1" t="s">
        <v>41</v>
      </c>
      <c r="D196" s="1" t="s">
        <v>50</v>
      </c>
      <c r="E196" s="1" t="s">
        <v>51</v>
      </c>
      <c r="F196" s="1" t="s">
        <v>50</v>
      </c>
      <c r="G196" s="1" t="s">
        <v>51</v>
      </c>
      <c r="H196" s="1" t="s">
        <v>56</v>
      </c>
      <c r="I196" s="1" t="s">
        <v>57</v>
      </c>
      <c r="J196" s="1">
        <f t="shared" si="3"/>
        <v>100</v>
      </c>
      <c r="K196" s="3">
        <v>1</v>
      </c>
      <c r="L196" s="4">
        <v>65.900000000000006</v>
      </c>
      <c r="M196" s="5">
        <v>4.1642000000000001</v>
      </c>
      <c r="N196">
        <v>99.350000000000009</v>
      </c>
      <c r="O196">
        <v>99.81</v>
      </c>
      <c r="P196" s="6">
        <v>0.99809999999999999</v>
      </c>
      <c r="Q196" s="6">
        <v>0.99819999999999998</v>
      </c>
      <c r="R196">
        <v>0.02</v>
      </c>
      <c r="S196">
        <v>0.09</v>
      </c>
      <c r="T196" s="7">
        <v>0</v>
      </c>
      <c r="U196" s="7">
        <v>0</v>
      </c>
      <c r="V196" s="7">
        <v>0</v>
      </c>
      <c r="W196" s="7">
        <v>0</v>
      </c>
      <c r="X196" s="6">
        <v>0.70799999999999996</v>
      </c>
      <c r="Y196" s="6">
        <v>0.47789999999999999</v>
      </c>
      <c r="Z196" s="4">
        <v>-11.28</v>
      </c>
      <c r="AA196" s="4">
        <v>-92.43</v>
      </c>
      <c r="AB196" s="6">
        <v>0.99980000000000002</v>
      </c>
      <c r="AD196" s="6">
        <v>0.86670000000000003</v>
      </c>
      <c r="AE196" s="6">
        <v>7.6E-3</v>
      </c>
      <c r="AF196" s="6">
        <v>4.7800000000000002E-2</v>
      </c>
      <c r="AG196" s="7">
        <v>0</v>
      </c>
      <c r="AH196" s="7">
        <v>0</v>
      </c>
      <c r="AI196" s="7">
        <v>37</v>
      </c>
      <c r="AJ196" s="3">
        <v>1</v>
      </c>
      <c r="AK196" s="7">
        <v>789501600</v>
      </c>
      <c r="AL196" s="5">
        <v>54.661700000000003</v>
      </c>
      <c r="AM196" s="5">
        <v>273.28399999999999</v>
      </c>
      <c r="AN196" s="5">
        <v>849.31659999999999</v>
      </c>
    </row>
    <row r="197" spans="1:40" ht="16.5" x14ac:dyDescent="0.45">
      <c r="A197" s="1" t="s">
        <v>85</v>
      </c>
      <c r="B197" s="1" t="s">
        <v>86</v>
      </c>
      <c r="C197" s="1" t="s">
        <v>41</v>
      </c>
      <c r="D197" s="1" t="s">
        <v>50</v>
      </c>
      <c r="E197" s="1" t="s">
        <v>51</v>
      </c>
      <c r="F197" s="1" t="s">
        <v>50</v>
      </c>
      <c r="G197" s="1" t="s">
        <v>51</v>
      </c>
      <c r="H197" s="1" t="s">
        <v>58</v>
      </c>
      <c r="I197" s="1" t="s">
        <v>59</v>
      </c>
      <c r="J197" s="1">
        <f t="shared" si="3"/>
        <v>100</v>
      </c>
      <c r="K197" s="3">
        <v>1</v>
      </c>
      <c r="L197" s="4">
        <v>39.119999999999997</v>
      </c>
      <c r="M197" s="5">
        <v>4.6066000000000003</v>
      </c>
      <c r="N197">
        <v>99.56</v>
      </c>
      <c r="O197">
        <v>99.86</v>
      </c>
      <c r="P197" s="6">
        <v>0.99860000000000004</v>
      </c>
      <c r="Q197" s="6">
        <v>0.99860000000000004</v>
      </c>
      <c r="R197">
        <v>0</v>
      </c>
      <c r="S197">
        <v>0.06</v>
      </c>
      <c r="T197" s="7">
        <v>0</v>
      </c>
      <c r="U197" s="7">
        <v>0</v>
      </c>
      <c r="V197" s="7">
        <v>0</v>
      </c>
      <c r="W197" s="7">
        <v>0</v>
      </c>
      <c r="X197" s="6">
        <v>0.58650000000000002</v>
      </c>
      <c r="Y197" s="6">
        <v>0.38300000000000001</v>
      </c>
      <c r="Z197" s="4">
        <v>-10.42</v>
      </c>
      <c r="AA197" s="4">
        <v>-99.33</v>
      </c>
      <c r="AB197" s="6">
        <v>0.99970000000000003</v>
      </c>
      <c r="AD197" s="3">
        <v>1</v>
      </c>
      <c r="AE197" s="6">
        <v>6.1999999999999998E-3</v>
      </c>
      <c r="AF197" s="6">
        <v>6.59E-2</v>
      </c>
      <c r="AG197" s="7">
        <v>0</v>
      </c>
      <c r="AH197" s="7">
        <v>0</v>
      </c>
      <c r="AI197" s="7">
        <v>45</v>
      </c>
      <c r="AJ197" s="3">
        <v>1</v>
      </c>
      <c r="AK197" s="7">
        <v>789501600</v>
      </c>
      <c r="AL197" s="5">
        <v>39.468400000000003</v>
      </c>
      <c r="AM197" s="5">
        <v>238.49010000000001</v>
      </c>
      <c r="AN197" s="5">
        <v>1037.8707999999999</v>
      </c>
    </row>
    <row r="198" spans="1:40" ht="16.5" x14ac:dyDescent="0.45">
      <c r="A198" s="1" t="s">
        <v>86</v>
      </c>
      <c r="B198" s="1" t="s">
        <v>87</v>
      </c>
      <c r="C198" s="1" t="s">
        <v>41</v>
      </c>
      <c r="D198" s="1" t="s">
        <v>42</v>
      </c>
      <c r="E198" s="1" t="s">
        <v>43</v>
      </c>
      <c r="F198" s="1" t="s">
        <v>42</v>
      </c>
      <c r="G198" s="1" t="s">
        <v>43</v>
      </c>
      <c r="H198" s="1" t="s">
        <v>44</v>
      </c>
      <c r="I198" s="1" t="s">
        <v>45</v>
      </c>
      <c r="J198" s="1">
        <f t="shared" si="3"/>
        <v>100</v>
      </c>
      <c r="K198" s="3">
        <v>1</v>
      </c>
      <c r="L198" s="4">
        <v>31.66</v>
      </c>
      <c r="M198" s="5">
        <v>3.5855999999999999</v>
      </c>
      <c r="N198">
        <v>99.7</v>
      </c>
      <c r="O198">
        <v>99.850000000000009</v>
      </c>
      <c r="P198" s="6">
        <v>0.99850000000000005</v>
      </c>
      <c r="Q198" s="6">
        <v>0.99850000000000005</v>
      </c>
      <c r="R198">
        <v>0.1</v>
      </c>
      <c r="S198">
        <v>0.09</v>
      </c>
      <c r="T198" s="7">
        <v>0</v>
      </c>
      <c r="U198" s="7">
        <v>0</v>
      </c>
      <c r="V198" s="7">
        <v>0</v>
      </c>
      <c r="W198" s="7">
        <v>0</v>
      </c>
      <c r="X198" s="6">
        <v>0.48130000000000001</v>
      </c>
      <c r="Y198" s="6">
        <v>0.19289999999999999</v>
      </c>
      <c r="Z198" s="4">
        <v>-10.5</v>
      </c>
      <c r="AA198" s="4">
        <v>-97.83</v>
      </c>
      <c r="AB198" s="6">
        <v>0.99950000000000006</v>
      </c>
      <c r="AC198" s="7">
        <v>100</v>
      </c>
      <c r="AD198" s="6">
        <v>0.66669999999999996</v>
      </c>
      <c r="AE198" s="6">
        <v>4.4999999999999997E-3</v>
      </c>
      <c r="AF198" s="6">
        <v>4.8800000000000003E-2</v>
      </c>
      <c r="AG198" s="7">
        <v>0</v>
      </c>
      <c r="AH198" s="7">
        <v>0</v>
      </c>
      <c r="AI198" s="7">
        <v>49</v>
      </c>
      <c r="AJ198" s="6">
        <v>0.99990000000000001</v>
      </c>
      <c r="AK198" s="7">
        <v>789501600</v>
      </c>
      <c r="AL198" s="5">
        <v>37.898400000000002</v>
      </c>
      <c r="AM198" s="5">
        <v>187.32910000000001</v>
      </c>
      <c r="AN198" s="5">
        <v>799.10509999999999</v>
      </c>
    </row>
    <row r="199" spans="1:40" ht="16.5" x14ac:dyDescent="0.45">
      <c r="A199" s="1" t="s">
        <v>86</v>
      </c>
      <c r="B199" s="1" t="s">
        <v>87</v>
      </c>
      <c r="C199" s="1" t="s">
        <v>41</v>
      </c>
      <c r="D199" s="1" t="s">
        <v>42</v>
      </c>
      <c r="E199" s="1" t="s">
        <v>43</v>
      </c>
      <c r="F199" s="1" t="s">
        <v>42</v>
      </c>
      <c r="G199" s="1" t="s">
        <v>43</v>
      </c>
      <c r="H199" s="1" t="s">
        <v>46</v>
      </c>
      <c r="I199" s="1" t="s">
        <v>47</v>
      </c>
      <c r="J199" s="1">
        <f t="shared" si="3"/>
        <v>100</v>
      </c>
      <c r="K199" s="3">
        <v>1</v>
      </c>
      <c r="L199" s="4">
        <v>26.75</v>
      </c>
      <c r="M199" s="5">
        <v>3.2669000000000001</v>
      </c>
      <c r="N199">
        <v>99.94</v>
      </c>
      <c r="O199">
        <v>99.82</v>
      </c>
      <c r="P199" s="6">
        <v>0.99809999999999999</v>
      </c>
      <c r="Q199" s="6">
        <v>0.99809999999999999</v>
      </c>
      <c r="R199">
        <v>0</v>
      </c>
      <c r="S199">
        <v>6.9999999999999993E-2</v>
      </c>
      <c r="T199" s="7">
        <v>0</v>
      </c>
      <c r="U199" s="7">
        <v>0</v>
      </c>
      <c r="V199" s="7">
        <v>0</v>
      </c>
      <c r="W199" s="7">
        <v>0</v>
      </c>
      <c r="X199" s="6">
        <v>0.3947</v>
      </c>
      <c r="Y199" s="6">
        <v>0.1353</v>
      </c>
      <c r="Z199" s="4">
        <v>-9.8800000000000008</v>
      </c>
      <c r="AA199" s="4">
        <v>-99.06</v>
      </c>
      <c r="AB199" s="6">
        <v>0.99970000000000003</v>
      </c>
      <c r="AD199" s="3">
        <v>1</v>
      </c>
      <c r="AE199" s="6">
        <v>5.1999999999999998E-3</v>
      </c>
      <c r="AF199" s="6">
        <v>4.7E-2</v>
      </c>
      <c r="AG199" s="7">
        <v>0</v>
      </c>
      <c r="AH199" s="7">
        <v>0</v>
      </c>
      <c r="AI199" s="7">
        <v>72</v>
      </c>
      <c r="AJ199" s="3">
        <v>1</v>
      </c>
      <c r="AK199" s="7">
        <v>789501600</v>
      </c>
      <c r="AL199" s="5">
        <v>27.51</v>
      </c>
      <c r="AM199" s="5">
        <v>147.96010000000001</v>
      </c>
      <c r="AN199" s="5">
        <v>744.31110000000001</v>
      </c>
    </row>
    <row r="200" spans="1:40" ht="16.5" x14ac:dyDescent="0.45">
      <c r="A200" s="1" t="s">
        <v>86</v>
      </c>
      <c r="B200" s="1" t="s">
        <v>87</v>
      </c>
      <c r="C200" s="1" t="s">
        <v>41</v>
      </c>
      <c r="D200" s="1" t="s">
        <v>42</v>
      </c>
      <c r="E200" s="1" t="s">
        <v>43</v>
      </c>
      <c r="F200" s="1" t="s">
        <v>42</v>
      </c>
      <c r="G200" s="1" t="s">
        <v>43</v>
      </c>
      <c r="H200" s="1" t="s">
        <v>48</v>
      </c>
      <c r="I200" s="1" t="s">
        <v>49</v>
      </c>
      <c r="J200" s="1">
        <f t="shared" si="3"/>
        <v>100</v>
      </c>
      <c r="K200" s="3">
        <v>1</v>
      </c>
      <c r="L200" s="4">
        <v>26.42</v>
      </c>
      <c r="M200" s="5">
        <v>3.0935000000000001</v>
      </c>
      <c r="N200">
        <v>99.33</v>
      </c>
      <c r="O200">
        <v>99.850000000000009</v>
      </c>
      <c r="P200" s="6">
        <v>0.99850000000000005</v>
      </c>
      <c r="Q200" s="6">
        <v>0.99839999999999995</v>
      </c>
      <c r="R200">
        <v>0.2</v>
      </c>
      <c r="S200">
        <v>0.1</v>
      </c>
      <c r="T200" s="7">
        <v>0</v>
      </c>
      <c r="U200" s="7">
        <v>0</v>
      </c>
      <c r="V200" s="7">
        <v>0</v>
      </c>
      <c r="W200" s="7">
        <v>0</v>
      </c>
      <c r="X200" s="6">
        <v>0.48480000000000001</v>
      </c>
      <c r="Y200" s="6">
        <v>0.18099999999999999</v>
      </c>
      <c r="Z200" s="4">
        <v>-9.0299999999999994</v>
      </c>
      <c r="AA200" s="4">
        <v>-98.28</v>
      </c>
      <c r="AB200" s="6">
        <v>0.99929999999999997</v>
      </c>
      <c r="AC200" s="4">
        <v>87.5</v>
      </c>
      <c r="AD200" s="3">
        <v>0.96</v>
      </c>
      <c r="AE200" s="6">
        <v>4.8999999999999998E-3</v>
      </c>
      <c r="AF200" s="6">
        <v>4.3999999999999997E-2</v>
      </c>
      <c r="AG200" s="7">
        <v>0</v>
      </c>
      <c r="AH200" s="7">
        <v>0</v>
      </c>
      <c r="AI200" s="7">
        <v>31</v>
      </c>
      <c r="AJ200" s="6">
        <v>0.99960000000000004</v>
      </c>
      <c r="AK200" s="7">
        <v>789501600</v>
      </c>
      <c r="AL200" s="5">
        <v>33.121699999999997</v>
      </c>
      <c r="AM200" s="5">
        <v>145.92750000000001</v>
      </c>
      <c r="AN200" s="5">
        <v>683.92750000000001</v>
      </c>
    </row>
    <row r="201" spans="1:40" ht="16.5" x14ac:dyDescent="0.45">
      <c r="A201" s="1" t="s">
        <v>86</v>
      </c>
      <c r="B201" s="1" t="s">
        <v>87</v>
      </c>
      <c r="C201" s="1" t="s">
        <v>41</v>
      </c>
      <c r="D201" s="1" t="s">
        <v>50</v>
      </c>
      <c r="E201" s="1" t="s">
        <v>51</v>
      </c>
      <c r="F201" s="1" t="s">
        <v>50</v>
      </c>
      <c r="G201" s="1" t="s">
        <v>51</v>
      </c>
      <c r="H201" s="1" t="s">
        <v>52</v>
      </c>
      <c r="I201" s="1" t="s">
        <v>53</v>
      </c>
      <c r="J201" s="1">
        <f t="shared" si="3"/>
        <v>100</v>
      </c>
      <c r="K201" s="3">
        <v>1</v>
      </c>
      <c r="L201" s="4">
        <v>62.15</v>
      </c>
      <c r="M201" s="5">
        <v>4.5793999999999997</v>
      </c>
      <c r="N201">
        <v>99.72999999999999</v>
      </c>
      <c r="O201">
        <v>99.81</v>
      </c>
      <c r="P201" s="6">
        <v>0.99809999999999999</v>
      </c>
      <c r="Q201" s="6">
        <v>0.998</v>
      </c>
      <c r="R201">
        <v>0.13</v>
      </c>
      <c r="S201">
        <v>0.13</v>
      </c>
      <c r="T201" s="7">
        <v>0</v>
      </c>
      <c r="U201" s="7">
        <v>0</v>
      </c>
      <c r="V201" s="7">
        <v>0</v>
      </c>
      <c r="W201" s="7">
        <v>0</v>
      </c>
      <c r="X201" s="6">
        <v>0.6522</v>
      </c>
      <c r="Y201" s="6">
        <v>0.497</v>
      </c>
      <c r="Z201" s="4">
        <v>-11.98</v>
      </c>
      <c r="AA201" s="4">
        <v>-95.24</v>
      </c>
      <c r="AB201" s="6">
        <v>0.99939999999999996</v>
      </c>
      <c r="AC201" s="7">
        <v>100</v>
      </c>
      <c r="AD201" s="3">
        <v>1</v>
      </c>
      <c r="AE201" s="6">
        <v>6.8999999999999999E-3</v>
      </c>
      <c r="AF201" s="6">
        <v>8.0699999999999994E-2</v>
      </c>
      <c r="AG201" s="7">
        <v>0</v>
      </c>
      <c r="AH201" s="7">
        <v>0</v>
      </c>
      <c r="AI201" s="7">
        <v>116</v>
      </c>
      <c r="AJ201" s="6">
        <v>0.99990000000000001</v>
      </c>
      <c r="AK201" s="7">
        <v>789501600</v>
      </c>
      <c r="AL201" s="5">
        <v>65.418400000000005</v>
      </c>
      <c r="AM201" s="5">
        <v>298.15280000000001</v>
      </c>
      <c r="AN201" s="5">
        <v>960.27229999999997</v>
      </c>
    </row>
    <row r="202" spans="1:40" ht="16.5" x14ac:dyDescent="0.45">
      <c r="A202" s="1" t="s">
        <v>86</v>
      </c>
      <c r="B202" s="1" t="s">
        <v>87</v>
      </c>
      <c r="C202" s="1" t="s">
        <v>41</v>
      </c>
      <c r="D202" s="1" t="s">
        <v>50</v>
      </c>
      <c r="E202" s="1" t="s">
        <v>51</v>
      </c>
      <c r="F202" s="1" t="s">
        <v>50</v>
      </c>
      <c r="G202" s="1" t="s">
        <v>51</v>
      </c>
      <c r="H202" s="1" t="s">
        <v>54</v>
      </c>
      <c r="I202" s="1" t="s">
        <v>55</v>
      </c>
      <c r="J202" s="1">
        <f t="shared" si="3"/>
        <v>100</v>
      </c>
      <c r="K202" s="3">
        <v>1</v>
      </c>
      <c r="L202" s="4">
        <v>33.26</v>
      </c>
      <c r="M202" s="5">
        <v>4.3316999999999997</v>
      </c>
      <c r="N202">
        <v>99.64</v>
      </c>
      <c r="O202">
        <v>99.87</v>
      </c>
      <c r="P202" s="6">
        <v>0.99870000000000003</v>
      </c>
      <c r="Q202" s="6">
        <v>0.99870000000000003</v>
      </c>
      <c r="R202">
        <v>0.04</v>
      </c>
      <c r="S202">
        <v>0.09</v>
      </c>
      <c r="T202" s="7">
        <v>0</v>
      </c>
      <c r="U202" s="7">
        <v>0</v>
      </c>
      <c r="V202" s="7">
        <v>0</v>
      </c>
      <c r="W202" s="7">
        <v>0</v>
      </c>
      <c r="X202" s="6">
        <v>0.61539999999999995</v>
      </c>
      <c r="Y202" s="6">
        <v>0.312</v>
      </c>
      <c r="Z202" s="4">
        <v>-11.05</v>
      </c>
      <c r="AA202" s="4">
        <v>-96.87</v>
      </c>
      <c r="AB202" s="6">
        <v>0.99970000000000003</v>
      </c>
      <c r="AC202" s="7">
        <v>100</v>
      </c>
      <c r="AD202" s="3">
        <v>1</v>
      </c>
      <c r="AE202" s="6">
        <v>7.4000000000000003E-3</v>
      </c>
      <c r="AF202" s="6">
        <v>7.0699999999999999E-2</v>
      </c>
      <c r="AG202" s="7">
        <v>0</v>
      </c>
      <c r="AH202" s="7">
        <v>0</v>
      </c>
      <c r="AI202" s="7">
        <v>50</v>
      </c>
      <c r="AJ202" s="3">
        <v>1</v>
      </c>
      <c r="AK202" s="7">
        <v>789501600</v>
      </c>
      <c r="AL202" s="5">
        <v>41.5017</v>
      </c>
      <c r="AM202" s="5">
        <v>222.61590000000001</v>
      </c>
      <c r="AN202" s="5">
        <v>966.31780000000003</v>
      </c>
    </row>
    <row r="203" spans="1:40" ht="16.5" x14ac:dyDescent="0.45">
      <c r="A203" s="1" t="s">
        <v>86</v>
      </c>
      <c r="B203" s="1" t="s">
        <v>87</v>
      </c>
      <c r="C203" s="1" t="s">
        <v>41</v>
      </c>
      <c r="D203" s="1" t="s">
        <v>50</v>
      </c>
      <c r="E203" s="1" t="s">
        <v>51</v>
      </c>
      <c r="F203" s="1" t="s">
        <v>50</v>
      </c>
      <c r="G203" s="1" t="s">
        <v>51</v>
      </c>
      <c r="H203" s="1" t="s">
        <v>56</v>
      </c>
      <c r="I203" s="1" t="s">
        <v>57</v>
      </c>
      <c r="J203" s="1">
        <f t="shared" si="3"/>
        <v>100</v>
      </c>
      <c r="K203" s="3">
        <v>1</v>
      </c>
      <c r="L203" s="4">
        <v>69.040000000000006</v>
      </c>
      <c r="M203" s="5">
        <v>4.3636999999999997</v>
      </c>
      <c r="N203">
        <v>99.86</v>
      </c>
      <c r="O203">
        <v>99.79</v>
      </c>
      <c r="P203" s="6">
        <v>0.99790000000000001</v>
      </c>
      <c r="Q203" s="6">
        <v>0.99809999999999999</v>
      </c>
      <c r="R203">
        <v>0.02</v>
      </c>
      <c r="S203">
        <v>0.08</v>
      </c>
      <c r="T203" s="7">
        <v>0</v>
      </c>
      <c r="U203" s="7">
        <v>0</v>
      </c>
      <c r="V203" s="7">
        <v>0</v>
      </c>
      <c r="W203" s="7">
        <v>0</v>
      </c>
      <c r="X203" s="6">
        <v>0.7258</v>
      </c>
      <c r="Y203" s="6">
        <v>0.49370000000000003</v>
      </c>
      <c r="Z203" s="4">
        <v>-11.49</v>
      </c>
      <c r="AA203" s="4">
        <v>-94.01</v>
      </c>
      <c r="AB203" s="6">
        <v>0.99980000000000002</v>
      </c>
      <c r="AD203" s="3">
        <v>0.96</v>
      </c>
      <c r="AE203" s="6">
        <v>7.0000000000000001E-3</v>
      </c>
      <c r="AF203" s="6">
        <v>5.0500000000000003E-2</v>
      </c>
      <c r="AG203" s="7">
        <v>0</v>
      </c>
      <c r="AH203" s="7">
        <v>0</v>
      </c>
      <c r="AI203" s="7">
        <v>49</v>
      </c>
      <c r="AJ203" s="3">
        <v>1</v>
      </c>
      <c r="AK203" s="7">
        <v>789501600</v>
      </c>
      <c r="AL203" s="5">
        <v>58.186599999999999</v>
      </c>
      <c r="AM203" s="5">
        <v>286.66070000000002</v>
      </c>
      <c r="AN203" s="5">
        <v>870.00149999999996</v>
      </c>
    </row>
    <row r="204" spans="1:40" ht="16.5" x14ac:dyDescent="0.45">
      <c r="A204" s="1" t="s">
        <v>86</v>
      </c>
      <c r="B204" s="1" t="s">
        <v>87</v>
      </c>
      <c r="C204" s="1" t="s">
        <v>41</v>
      </c>
      <c r="D204" s="1" t="s">
        <v>50</v>
      </c>
      <c r="E204" s="1" t="s">
        <v>51</v>
      </c>
      <c r="F204" s="1" t="s">
        <v>50</v>
      </c>
      <c r="G204" s="1" t="s">
        <v>51</v>
      </c>
      <c r="H204" s="1" t="s">
        <v>58</v>
      </c>
      <c r="I204" s="1" t="s">
        <v>59</v>
      </c>
      <c r="J204" s="1">
        <f t="shared" si="3"/>
        <v>100</v>
      </c>
      <c r="K204" s="3">
        <v>1</v>
      </c>
      <c r="L204" s="4">
        <v>38.729999999999997</v>
      </c>
      <c r="M204" s="5">
        <v>4.3318000000000003</v>
      </c>
      <c r="N204">
        <v>99.83</v>
      </c>
      <c r="O204">
        <v>99.86</v>
      </c>
      <c r="P204" s="6">
        <v>0.99860000000000004</v>
      </c>
      <c r="Q204" s="6">
        <v>0.99860000000000004</v>
      </c>
      <c r="R204">
        <v>0</v>
      </c>
      <c r="S204">
        <v>0.05</v>
      </c>
      <c r="T204" s="7">
        <v>0</v>
      </c>
      <c r="U204" s="7">
        <v>0</v>
      </c>
      <c r="V204" s="7">
        <v>0</v>
      </c>
      <c r="W204" s="7">
        <v>0</v>
      </c>
      <c r="X204" s="6">
        <v>0.55230000000000001</v>
      </c>
      <c r="Y204" s="6">
        <v>0.35830000000000001</v>
      </c>
      <c r="Z204" s="4">
        <v>-10.210000000000001</v>
      </c>
      <c r="AA204" s="4">
        <v>-100.03</v>
      </c>
      <c r="AB204" s="6">
        <v>0.99980000000000002</v>
      </c>
      <c r="AD204" s="3">
        <v>0.75</v>
      </c>
      <c r="AE204" s="6">
        <v>6.0000000000000001E-3</v>
      </c>
      <c r="AF204" s="6">
        <v>6.2100000000000002E-2</v>
      </c>
      <c r="AG204" s="7">
        <v>0</v>
      </c>
      <c r="AH204" s="7">
        <v>0</v>
      </c>
      <c r="AI204" s="7">
        <v>42</v>
      </c>
      <c r="AJ204" s="3">
        <v>1</v>
      </c>
      <c r="AK204" s="7">
        <v>789501600</v>
      </c>
      <c r="AL204" s="5">
        <v>38.704999999999998</v>
      </c>
      <c r="AM204" s="5">
        <v>230.9744</v>
      </c>
      <c r="AN204" s="5">
        <v>954.74149999999997</v>
      </c>
    </row>
    <row r="205" spans="1:40" ht="16.5" x14ac:dyDescent="0.45">
      <c r="A205" s="1" t="s">
        <v>87</v>
      </c>
      <c r="B205" s="1" t="s">
        <v>88</v>
      </c>
      <c r="C205" s="1" t="s">
        <v>41</v>
      </c>
      <c r="D205" s="1" t="s">
        <v>42</v>
      </c>
      <c r="E205" s="1" t="s">
        <v>43</v>
      </c>
      <c r="F205" s="1" t="s">
        <v>42</v>
      </c>
      <c r="G205" s="1" t="s">
        <v>43</v>
      </c>
      <c r="H205" s="1" t="s">
        <v>44</v>
      </c>
      <c r="I205" s="1" t="s">
        <v>45</v>
      </c>
      <c r="J205" s="1">
        <f t="shared" si="3"/>
        <v>100</v>
      </c>
      <c r="K205" s="3">
        <v>1</v>
      </c>
      <c r="L205" s="4">
        <v>30.97</v>
      </c>
      <c r="M205" s="5">
        <v>2.9805000000000001</v>
      </c>
      <c r="N205">
        <v>99.7</v>
      </c>
      <c r="O205">
        <v>99.86</v>
      </c>
      <c r="P205" s="6">
        <v>0.99860000000000004</v>
      </c>
      <c r="Q205" s="6">
        <v>0.99850000000000005</v>
      </c>
      <c r="R205">
        <v>0.05</v>
      </c>
      <c r="S205">
        <v>0.1</v>
      </c>
      <c r="T205" s="7">
        <v>0</v>
      </c>
      <c r="U205" s="7">
        <v>0</v>
      </c>
      <c r="V205" s="7">
        <v>0</v>
      </c>
      <c r="W205" s="7">
        <v>0</v>
      </c>
      <c r="X205" s="6">
        <v>0.45429999999999998</v>
      </c>
      <c r="Y205" s="6">
        <v>0.18160000000000001</v>
      </c>
      <c r="Z205" s="4">
        <v>-10.46</v>
      </c>
      <c r="AA205" s="4">
        <v>-98.15</v>
      </c>
      <c r="AB205" s="6">
        <v>0.99970000000000003</v>
      </c>
      <c r="AC205" s="7">
        <v>100</v>
      </c>
      <c r="AD205" s="3">
        <v>0.5</v>
      </c>
      <c r="AE205" s="6">
        <v>4.5999999999999999E-3</v>
      </c>
      <c r="AF205" s="6">
        <v>5.3800000000000001E-2</v>
      </c>
      <c r="AG205" s="7">
        <v>0</v>
      </c>
      <c r="AH205" s="7">
        <v>0</v>
      </c>
      <c r="AI205" s="7">
        <v>34</v>
      </c>
      <c r="AJ205" s="3">
        <v>1</v>
      </c>
      <c r="AK205" s="7">
        <v>789501600</v>
      </c>
      <c r="AL205" s="5">
        <v>35.063400000000001</v>
      </c>
      <c r="AM205" s="5">
        <v>166.75280000000001</v>
      </c>
      <c r="AN205" s="5">
        <v>638.43179999999995</v>
      </c>
    </row>
    <row r="206" spans="1:40" ht="16.5" x14ac:dyDescent="0.45">
      <c r="A206" s="1" t="s">
        <v>87</v>
      </c>
      <c r="B206" s="1" t="s">
        <v>88</v>
      </c>
      <c r="C206" s="1" t="s">
        <v>41</v>
      </c>
      <c r="D206" s="1" t="s">
        <v>42</v>
      </c>
      <c r="E206" s="1" t="s">
        <v>43</v>
      </c>
      <c r="F206" s="1" t="s">
        <v>42</v>
      </c>
      <c r="G206" s="1" t="s">
        <v>43</v>
      </c>
      <c r="H206" s="1" t="s">
        <v>46</v>
      </c>
      <c r="I206" s="1" t="s">
        <v>47</v>
      </c>
      <c r="J206" s="1">
        <f t="shared" si="3"/>
        <v>100</v>
      </c>
      <c r="K206" s="3">
        <v>1</v>
      </c>
      <c r="L206" s="4">
        <v>24.65</v>
      </c>
      <c r="M206" s="5">
        <v>3.3531</v>
      </c>
      <c r="N206">
        <v>100</v>
      </c>
      <c r="O206">
        <v>99.88</v>
      </c>
      <c r="P206" s="6">
        <v>0.99880000000000002</v>
      </c>
      <c r="Q206" s="6">
        <v>0.99880000000000002</v>
      </c>
      <c r="R206">
        <v>0</v>
      </c>
      <c r="S206">
        <v>0.09</v>
      </c>
      <c r="T206" s="7">
        <v>0</v>
      </c>
      <c r="U206" s="7">
        <v>0</v>
      </c>
      <c r="V206" s="7">
        <v>0</v>
      </c>
      <c r="W206" s="7">
        <v>0</v>
      </c>
      <c r="X206" s="6">
        <v>0.35680000000000001</v>
      </c>
      <c r="Y206" s="6">
        <v>0.128</v>
      </c>
      <c r="Z206" s="4">
        <v>-9.06</v>
      </c>
      <c r="AA206" s="4">
        <v>-99.34</v>
      </c>
      <c r="AB206" s="6">
        <v>0.99950000000000006</v>
      </c>
      <c r="AC206" s="7">
        <v>100</v>
      </c>
      <c r="AD206" s="3">
        <v>1</v>
      </c>
      <c r="AE206" s="6">
        <v>5.3E-3</v>
      </c>
      <c r="AF206" s="6">
        <v>4.6399999999999997E-2</v>
      </c>
      <c r="AG206" s="7">
        <v>0</v>
      </c>
      <c r="AH206" s="7">
        <v>0</v>
      </c>
      <c r="AI206" s="7">
        <v>57</v>
      </c>
      <c r="AJ206" s="3">
        <v>1</v>
      </c>
      <c r="AK206" s="7">
        <v>789501600</v>
      </c>
      <c r="AL206" s="5">
        <v>26.833400000000001</v>
      </c>
      <c r="AM206" s="5">
        <v>184.39510000000001</v>
      </c>
      <c r="AN206" s="5">
        <v>739.64369999999997</v>
      </c>
    </row>
    <row r="207" spans="1:40" ht="16.5" x14ac:dyDescent="0.45">
      <c r="A207" s="1" t="s">
        <v>87</v>
      </c>
      <c r="B207" s="1" t="s">
        <v>88</v>
      </c>
      <c r="C207" s="1" t="s">
        <v>41</v>
      </c>
      <c r="D207" s="1" t="s">
        <v>42</v>
      </c>
      <c r="E207" s="1" t="s">
        <v>43</v>
      </c>
      <c r="F207" s="1" t="s">
        <v>42</v>
      </c>
      <c r="G207" s="1" t="s">
        <v>43</v>
      </c>
      <c r="H207" s="1" t="s">
        <v>48</v>
      </c>
      <c r="I207" s="1" t="s">
        <v>49</v>
      </c>
      <c r="J207" s="1">
        <f t="shared" si="3"/>
        <v>100</v>
      </c>
      <c r="K207" s="3">
        <v>1</v>
      </c>
      <c r="L207" s="4">
        <v>25.66</v>
      </c>
      <c r="M207" s="5">
        <v>3.2865000000000002</v>
      </c>
      <c r="N207">
        <v>99.52</v>
      </c>
      <c r="O207">
        <v>99.839999999999989</v>
      </c>
      <c r="P207" s="6">
        <v>0.99839999999999995</v>
      </c>
      <c r="Q207" s="6">
        <v>0.99829999999999997</v>
      </c>
      <c r="R207">
        <v>0</v>
      </c>
      <c r="S207">
        <v>0.05</v>
      </c>
      <c r="T207" s="7">
        <v>0</v>
      </c>
      <c r="U207" s="7">
        <v>0</v>
      </c>
      <c r="V207" s="7">
        <v>0</v>
      </c>
      <c r="W207" s="7">
        <v>0</v>
      </c>
      <c r="X207" s="6">
        <v>0.53149999999999997</v>
      </c>
      <c r="Y207" s="6">
        <v>0.182</v>
      </c>
      <c r="Z207" s="4">
        <v>-9.44</v>
      </c>
      <c r="AA207" s="4">
        <v>-98.27</v>
      </c>
      <c r="AB207" s="6">
        <v>0.99960000000000004</v>
      </c>
      <c r="AC207" s="4">
        <v>86.67</v>
      </c>
      <c r="AD207" s="6">
        <v>0.89800000000000002</v>
      </c>
      <c r="AE207" s="6">
        <v>4.8999999999999998E-3</v>
      </c>
      <c r="AF207" s="6">
        <v>4.7500000000000001E-2</v>
      </c>
      <c r="AG207" s="7">
        <v>0</v>
      </c>
      <c r="AH207" s="7">
        <v>0</v>
      </c>
      <c r="AI207" s="7">
        <v>37</v>
      </c>
      <c r="AJ207" s="6">
        <v>0.99960000000000004</v>
      </c>
      <c r="AK207" s="7">
        <v>789501600</v>
      </c>
      <c r="AL207" s="5">
        <v>36.181600000000003</v>
      </c>
      <c r="AM207" s="5">
        <v>174.834</v>
      </c>
      <c r="AN207" s="5">
        <v>714.77359999999999</v>
      </c>
    </row>
    <row r="208" spans="1:40" ht="16.5" x14ac:dyDescent="0.45">
      <c r="A208" s="1" t="s">
        <v>87</v>
      </c>
      <c r="B208" s="1" t="s">
        <v>88</v>
      </c>
      <c r="C208" s="1" t="s">
        <v>41</v>
      </c>
      <c r="D208" s="1" t="s">
        <v>50</v>
      </c>
      <c r="E208" s="1" t="s">
        <v>51</v>
      </c>
      <c r="F208" s="1" t="s">
        <v>50</v>
      </c>
      <c r="G208" s="1" t="s">
        <v>51</v>
      </c>
      <c r="H208" s="1" t="s">
        <v>52</v>
      </c>
      <c r="I208" s="1" t="s">
        <v>53</v>
      </c>
      <c r="J208" s="1">
        <f t="shared" si="3"/>
        <v>100</v>
      </c>
      <c r="K208" s="3">
        <v>1</v>
      </c>
      <c r="L208" s="4">
        <v>61.34</v>
      </c>
      <c r="M208" s="5">
        <v>4.4936999999999996</v>
      </c>
      <c r="N208">
        <v>99.74</v>
      </c>
      <c r="O208">
        <v>99.850000000000009</v>
      </c>
      <c r="P208" s="6">
        <v>0.99839999999999995</v>
      </c>
      <c r="Q208" s="6">
        <v>0.99839999999999995</v>
      </c>
      <c r="R208">
        <v>0.08</v>
      </c>
      <c r="S208">
        <v>0.1</v>
      </c>
      <c r="T208" s="7">
        <v>0</v>
      </c>
      <c r="U208" s="7">
        <v>0</v>
      </c>
      <c r="V208" s="7">
        <v>0</v>
      </c>
      <c r="W208" s="7">
        <v>0</v>
      </c>
      <c r="X208" s="6">
        <v>0.66590000000000005</v>
      </c>
      <c r="Y208" s="6">
        <v>0.4793</v>
      </c>
      <c r="Z208" s="4">
        <v>-12.05</v>
      </c>
      <c r="AA208" s="4">
        <v>-95.54</v>
      </c>
      <c r="AB208" s="6">
        <v>0.99960000000000004</v>
      </c>
      <c r="AD208" s="3">
        <v>1</v>
      </c>
      <c r="AE208" s="6">
        <v>7.9000000000000008E-3</v>
      </c>
      <c r="AF208" s="6">
        <v>8.5199999999999998E-2</v>
      </c>
      <c r="AG208" s="7">
        <v>0</v>
      </c>
      <c r="AH208" s="7">
        <v>0</v>
      </c>
      <c r="AI208" s="7">
        <v>110</v>
      </c>
      <c r="AJ208" s="6">
        <v>0.99990000000000001</v>
      </c>
      <c r="AK208" s="7">
        <v>789501600</v>
      </c>
      <c r="AL208" s="5">
        <v>71.018299999999996</v>
      </c>
      <c r="AM208" s="5">
        <v>291.68</v>
      </c>
      <c r="AN208" s="5">
        <v>934.14890000000003</v>
      </c>
    </row>
    <row r="209" spans="1:40" ht="16.5" x14ac:dyDescent="0.45">
      <c r="A209" s="1" t="s">
        <v>87</v>
      </c>
      <c r="B209" s="1" t="s">
        <v>88</v>
      </c>
      <c r="C209" s="1" t="s">
        <v>41</v>
      </c>
      <c r="D209" s="1" t="s">
        <v>50</v>
      </c>
      <c r="E209" s="1" t="s">
        <v>51</v>
      </c>
      <c r="F209" s="1" t="s">
        <v>50</v>
      </c>
      <c r="G209" s="1" t="s">
        <v>51</v>
      </c>
      <c r="H209" s="1" t="s">
        <v>54</v>
      </c>
      <c r="I209" s="1" t="s">
        <v>55</v>
      </c>
      <c r="J209" s="1">
        <f t="shared" si="3"/>
        <v>100</v>
      </c>
      <c r="K209" s="3">
        <v>1</v>
      </c>
      <c r="L209" s="4">
        <v>34.49</v>
      </c>
      <c r="M209" s="5">
        <v>5.0105000000000004</v>
      </c>
      <c r="N209">
        <v>99.83</v>
      </c>
      <c r="O209">
        <v>99.86</v>
      </c>
      <c r="P209" s="6">
        <v>0.99860000000000004</v>
      </c>
      <c r="Q209" s="6">
        <v>0.99860000000000004</v>
      </c>
      <c r="R209">
        <v>0.04</v>
      </c>
      <c r="S209">
        <v>0.04</v>
      </c>
      <c r="T209" s="7">
        <v>0</v>
      </c>
      <c r="U209" s="7">
        <v>0</v>
      </c>
      <c r="V209" s="7">
        <v>0</v>
      </c>
      <c r="W209" s="7">
        <v>0</v>
      </c>
      <c r="X209" s="3">
        <v>0.66</v>
      </c>
      <c r="Y209" s="6">
        <v>0.3165</v>
      </c>
      <c r="Z209" s="4">
        <v>-11.42</v>
      </c>
      <c r="AA209" s="4">
        <v>-96.83</v>
      </c>
      <c r="AB209" s="6">
        <v>0.99939999999999996</v>
      </c>
      <c r="AD209" s="3">
        <v>1</v>
      </c>
      <c r="AE209" s="6">
        <v>5.8999999999999999E-3</v>
      </c>
      <c r="AF209" s="6">
        <v>5.62E-2</v>
      </c>
      <c r="AG209" s="7">
        <v>0</v>
      </c>
      <c r="AH209" s="7">
        <v>0</v>
      </c>
      <c r="AI209" s="7">
        <v>40</v>
      </c>
      <c r="AJ209" s="3">
        <v>1</v>
      </c>
      <c r="AK209" s="7">
        <v>789501600</v>
      </c>
      <c r="AL209" s="5">
        <v>43.935000000000002</v>
      </c>
      <c r="AM209" s="5">
        <v>259.48149999999998</v>
      </c>
      <c r="AN209" s="5">
        <v>1121.4217000000001</v>
      </c>
    </row>
    <row r="210" spans="1:40" ht="16.5" x14ac:dyDescent="0.45">
      <c r="A210" s="1" t="s">
        <v>87</v>
      </c>
      <c r="B210" s="1" t="s">
        <v>88</v>
      </c>
      <c r="C210" s="1" t="s">
        <v>41</v>
      </c>
      <c r="D210" s="1" t="s">
        <v>50</v>
      </c>
      <c r="E210" s="1" t="s">
        <v>51</v>
      </c>
      <c r="F210" s="1" t="s">
        <v>50</v>
      </c>
      <c r="G210" s="1" t="s">
        <v>51</v>
      </c>
      <c r="H210" s="1" t="s">
        <v>56</v>
      </c>
      <c r="I210" s="1" t="s">
        <v>57</v>
      </c>
      <c r="J210" s="1">
        <f t="shared" si="3"/>
        <v>100</v>
      </c>
      <c r="K210" s="3">
        <v>1</v>
      </c>
      <c r="L210" s="4">
        <v>65.319999999999993</v>
      </c>
      <c r="M210" s="5">
        <v>4.5868000000000002</v>
      </c>
      <c r="N210">
        <v>99.68</v>
      </c>
      <c r="O210">
        <v>99.839999999999989</v>
      </c>
      <c r="P210" s="6">
        <v>0.99839999999999995</v>
      </c>
      <c r="Q210" s="6">
        <v>0.99850000000000005</v>
      </c>
      <c r="R210">
        <v>0.11</v>
      </c>
      <c r="S210">
        <v>0.08</v>
      </c>
      <c r="T210" s="7">
        <v>0</v>
      </c>
      <c r="U210" s="7">
        <v>0</v>
      </c>
      <c r="V210" s="7">
        <v>0</v>
      </c>
      <c r="W210" s="7">
        <v>0</v>
      </c>
      <c r="X210" s="6">
        <v>0.75149999999999995</v>
      </c>
      <c r="Y210" s="6">
        <v>0.45729999999999998</v>
      </c>
      <c r="Z210" s="4">
        <v>-11.5</v>
      </c>
      <c r="AA210" s="4">
        <v>-94.2</v>
      </c>
      <c r="AB210" s="6">
        <v>0.99980000000000002</v>
      </c>
      <c r="AD210" s="6">
        <v>0.875</v>
      </c>
      <c r="AE210" s="6">
        <v>6.4000000000000003E-3</v>
      </c>
      <c r="AF210" s="6">
        <v>5.0900000000000001E-2</v>
      </c>
      <c r="AG210" s="7">
        <v>0</v>
      </c>
      <c r="AH210" s="7">
        <v>0</v>
      </c>
      <c r="AI210" s="7">
        <v>55</v>
      </c>
      <c r="AJ210" s="3">
        <v>1</v>
      </c>
      <c r="AK210" s="7">
        <v>789501600</v>
      </c>
      <c r="AL210" s="5">
        <v>54.556800000000003</v>
      </c>
      <c r="AM210" s="5">
        <v>227.34989999999999</v>
      </c>
      <c r="AN210" s="5">
        <v>1007.1322</v>
      </c>
    </row>
    <row r="211" spans="1:40" ht="16.5" x14ac:dyDescent="0.45">
      <c r="A211" s="1" t="s">
        <v>87</v>
      </c>
      <c r="B211" s="1" t="s">
        <v>88</v>
      </c>
      <c r="C211" s="1" t="s">
        <v>41</v>
      </c>
      <c r="D211" s="1" t="s">
        <v>50</v>
      </c>
      <c r="E211" s="1" t="s">
        <v>51</v>
      </c>
      <c r="F211" s="1" t="s">
        <v>50</v>
      </c>
      <c r="G211" s="1" t="s">
        <v>51</v>
      </c>
      <c r="H211" s="1" t="s">
        <v>58</v>
      </c>
      <c r="I211" s="1" t="s">
        <v>59</v>
      </c>
      <c r="J211" s="1">
        <f t="shared" si="3"/>
        <v>100</v>
      </c>
      <c r="K211" s="3">
        <v>1</v>
      </c>
      <c r="L211" s="4">
        <v>38.65</v>
      </c>
      <c r="M211" s="5">
        <v>4.2591999999999999</v>
      </c>
      <c r="N211">
        <v>99.77000000000001</v>
      </c>
      <c r="O211">
        <v>99.89</v>
      </c>
      <c r="P211" s="6">
        <v>0.99890000000000001</v>
      </c>
      <c r="Q211" s="6">
        <v>0.99890000000000001</v>
      </c>
      <c r="R211">
        <v>0.04</v>
      </c>
      <c r="S211">
        <v>6.9999999999999993E-2</v>
      </c>
      <c r="T211" s="7">
        <v>0</v>
      </c>
      <c r="U211" s="7">
        <v>0</v>
      </c>
      <c r="V211" s="7">
        <v>0</v>
      </c>
      <c r="W211" s="7">
        <v>0</v>
      </c>
      <c r="X211" s="6">
        <v>0.55649999999999999</v>
      </c>
      <c r="Y211" s="6">
        <v>0.37109999999999999</v>
      </c>
      <c r="Z211" s="4">
        <v>-10.220000000000001</v>
      </c>
      <c r="AA211" s="4">
        <v>-99.89</v>
      </c>
      <c r="AB211" s="6">
        <v>0.99970000000000003</v>
      </c>
      <c r="AD211" s="3">
        <v>0.75</v>
      </c>
      <c r="AE211" s="6">
        <v>6.6E-3</v>
      </c>
      <c r="AF211" s="6">
        <v>6.8900000000000003E-2</v>
      </c>
      <c r="AG211" s="7">
        <v>0</v>
      </c>
      <c r="AH211" s="7">
        <v>0</v>
      </c>
      <c r="AI211" s="7">
        <v>34</v>
      </c>
      <c r="AJ211" s="3">
        <v>1</v>
      </c>
      <c r="AK211" s="7">
        <v>789501600</v>
      </c>
      <c r="AL211" s="5">
        <v>40.833300000000001</v>
      </c>
      <c r="AM211" s="5">
        <v>245.1011</v>
      </c>
      <c r="AN211" s="5">
        <v>920.15800000000002</v>
      </c>
    </row>
    <row r="212" spans="1:40" ht="16.5" x14ac:dyDescent="0.45">
      <c r="A212" s="1" t="s">
        <v>88</v>
      </c>
      <c r="B212" s="1" t="s">
        <v>89</v>
      </c>
      <c r="C212" s="1" t="s">
        <v>41</v>
      </c>
      <c r="D212" s="1" t="s">
        <v>42</v>
      </c>
      <c r="E212" s="1" t="s">
        <v>43</v>
      </c>
      <c r="F212" s="1" t="s">
        <v>42</v>
      </c>
      <c r="G212" s="1" t="s">
        <v>43</v>
      </c>
      <c r="H212" s="1" t="s">
        <v>44</v>
      </c>
      <c r="I212" s="1" t="s">
        <v>45</v>
      </c>
      <c r="J212" s="1">
        <f t="shared" si="3"/>
        <v>100</v>
      </c>
      <c r="K212" s="3">
        <v>1</v>
      </c>
      <c r="L212" s="4">
        <v>31.37</v>
      </c>
      <c r="M212" s="5">
        <v>4.1380999999999997</v>
      </c>
      <c r="N212">
        <v>99.570000000000007</v>
      </c>
      <c r="O212">
        <v>99.850000000000009</v>
      </c>
      <c r="P212" s="6">
        <v>0.99850000000000005</v>
      </c>
      <c r="Q212" s="6">
        <v>0.99850000000000005</v>
      </c>
      <c r="R212">
        <v>0.05</v>
      </c>
      <c r="S212">
        <v>6.9999999999999993E-2</v>
      </c>
      <c r="T212" s="7">
        <v>0</v>
      </c>
      <c r="U212" s="7">
        <v>0</v>
      </c>
      <c r="V212" s="7">
        <v>0</v>
      </c>
      <c r="W212" s="7">
        <v>0</v>
      </c>
      <c r="X212" s="6">
        <v>0.49930000000000002</v>
      </c>
      <c r="Y212" s="6">
        <v>0.18790000000000001</v>
      </c>
      <c r="Z212" s="4">
        <v>-10.8</v>
      </c>
      <c r="AA212" s="4">
        <v>-97.51</v>
      </c>
      <c r="AB212" s="6">
        <v>0.99970000000000003</v>
      </c>
      <c r="AC212" s="7">
        <v>100</v>
      </c>
      <c r="AD212" s="3">
        <v>1</v>
      </c>
      <c r="AE212" s="6">
        <v>4.5999999999999999E-3</v>
      </c>
      <c r="AF212" s="6">
        <v>5.2499999999999998E-2</v>
      </c>
      <c r="AG212" s="7">
        <v>0</v>
      </c>
      <c r="AH212" s="7">
        <v>0</v>
      </c>
      <c r="AI212" s="7">
        <v>34</v>
      </c>
      <c r="AJ212" s="6">
        <v>0.99990000000000001</v>
      </c>
      <c r="AK212" s="7">
        <v>789501600</v>
      </c>
      <c r="AL212" s="5">
        <v>37.871699999999997</v>
      </c>
      <c r="AM212" s="5">
        <v>226.26400000000001</v>
      </c>
      <c r="AN212" s="5">
        <v>900.98149999999998</v>
      </c>
    </row>
    <row r="213" spans="1:40" ht="16.5" x14ac:dyDescent="0.45">
      <c r="A213" s="1" t="s">
        <v>88</v>
      </c>
      <c r="B213" s="1" t="s">
        <v>89</v>
      </c>
      <c r="C213" s="1" t="s">
        <v>41</v>
      </c>
      <c r="D213" s="1" t="s">
        <v>42</v>
      </c>
      <c r="E213" s="1" t="s">
        <v>43</v>
      </c>
      <c r="F213" s="1" t="s">
        <v>42</v>
      </c>
      <c r="G213" s="1" t="s">
        <v>43</v>
      </c>
      <c r="H213" s="1" t="s">
        <v>46</v>
      </c>
      <c r="I213" s="1" t="s">
        <v>47</v>
      </c>
      <c r="J213" s="1">
        <f t="shared" si="3"/>
        <v>100</v>
      </c>
      <c r="K213" s="3">
        <v>1</v>
      </c>
      <c r="L213" s="4">
        <v>22.47</v>
      </c>
      <c r="M213" s="5">
        <v>3.9329000000000001</v>
      </c>
      <c r="N213">
        <v>99.65</v>
      </c>
      <c r="O213">
        <v>99.839999999999989</v>
      </c>
      <c r="P213" s="6">
        <v>0.99839999999999995</v>
      </c>
      <c r="Q213" s="6">
        <v>0.99839999999999995</v>
      </c>
      <c r="R213">
        <v>0.22</v>
      </c>
      <c r="S213">
        <v>6.9999999999999993E-2</v>
      </c>
      <c r="T213" s="7">
        <v>0</v>
      </c>
      <c r="U213" s="7">
        <v>0</v>
      </c>
      <c r="V213" s="7">
        <v>0</v>
      </c>
      <c r="W213" s="7">
        <v>0</v>
      </c>
      <c r="X213" s="6">
        <v>0.40939999999999999</v>
      </c>
      <c r="Y213" s="6">
        <v>0.12770000000000001</v>
      </c>
      <c r="Z213" s="4">
        <v>-9.41</v>
      </c>
      <c r="AA213" s="4">
        <v>-99.07</v>
      </c>
      <c r="AB213" s="6">
        <v>0.99939999999999996</v>
      </c>
      <c r="AD213" s="3">
        <v>1</v>
      </c>
      <c r="AE213" s="6">
        <v>5.7000000000000002E-3</v>
      </c>
      <c r="AF213" s="6">
        <v>4.9200000000000001E-2</v>
      </c>
      <c r="AG213" s="7">
        <v>0</v>
      </c>
      <c r="AH213" s="7">
        <v>0</v>
      </c>
      <c r="AI213" s="7">
        <v>53</v>
      </c>
      <c r="AJ213" s="3">
        <v>1</v>
      </c>
      <c r="AK213" s="7">
        <v>789501600</v>
      </c>
      <c r="AL213" s="5">
        <v>26.785</v>
      </c>
      <c r="AM213" s="5">
        <v>135.13999999999999</v>
      </c>
      <c r="AN213" s="5">
        <v>958.19669999999996</v>
      </c>
    </row>
    <row r="214" spans="1:40" ht="16.5" x14ac:dyDescent="0.45">
      <c r="A214" s="1" t="s">
        <v>88</v>
      </c>
      <c r="B214" s="1" t="s">
        <v>89</v>
      </c>
      <c r="C214" s="1" t="s">
        <v>41</v>
      </c>
      <c r="D214" s="1" t="s">
        <v>42</v>
      </c>
      <c r="E214" s="1" t="s">
        <v>43</v>
      </c>
      <c r="F214" s="1" t="s">
        <v>42</v>
      </c>
      <c r="G214" s="1" t="s">
        <v>43</v>
      </c>
      <c r="H214" s="1" t="s">
        <v>48</v>
      </c>
      <c r="I214" s="1" t="s">
        <v>49</v>
      </c>
      <c r="J214" s="1">
        <f t="shared" si="3"/>
        <v>100</v>
      </c>
      <c r="K214" s="3">
        <v>1</v>
      </c>
      <c r="L214" s="4">
        <v>26.11</v>
      </c>
      <c r="M214" s="5">
        <v>5.0076999999999998</v>
      </c>
      <c r="N214">
        <v>99.69</v>
      </c>
      <c r="O214">
        <v>99.81</v>
      </c>
      <c r="P214" s="6">
        <v>0.99809999999999999</v>
      </c>
      <c r="Q214" s="6">
        <v>0.998</v>
      </c>
      <c r="R214">
        <v>6.9999999999999993E-2</v>
      </c>
      <c r="S214">
        <v>0.06</v>
      </c>
      <c r="T214" s="7">
        <v>0</v>
      </c>
      <c r="U214" s="7">
        <v>0</v>
      </c>
      <c r="V214" s="7">
        <v>0</v>
      </c>
      <c r="W214" s="7">
        <v>0</v>
      </c>
      <c r="X214" s="6">
        <v>0.56030000000000002</v>
      </c>
      <c r="Y214" s="6">
        <v>0.19800000000000001</v>
      </c>
      <c r="Z214" s="4">
        <v>-9.64</v>
      </c>
      <c r="AA214" s="4">
        <v>-97.74</v>
      </c>
      <c r="AB214" s="6">
        <v>0.99950000000000006</v>
      </c>
      <c r="AC214" s="4">
        <v>71.430000000000007</v>
      </c>
      <c r="AD214" s="6">
        <v>0.89800000000000002</v>
      </c>
      <c r="AE214" s="6">
        <v>5.4999999999999997E-3</v>
      </c>
      <c r="AF214" s="6">
        <v>4.1799999999999997E-2</v>
      </c>
      <c r="AG214" s="7">
        <v>0</v>
      </c>
      <c r="AH214" s="7">
        <v>0</v>
      </c>
      <c r="AI214" s="7">
        <v>34</v>
      </c>
      <c r="AJ214" s="6">
        <v>0.99960000000000004</v>
      </c>
      <c r="AK214" s="7">
        <v>789501600</v>
      </c>
      <c r="AL214" s="5">
        <v>36.466700000000003</v>
      </c>
      <c r="AM214" s="5">
        <v>287.4624</v>
      </c>
      <c r="AN214" s="5">
        <v>1083.4031</v>
      </c>
    </row>
    <row r="215" spans="1:40" ht="16.5" x14ac:dyDescent="0.45">
      <c r="A215" s="1" t="s">
        <v>88</v>
      </c>
      <c r="B215" s="1" t="s">
        <v>89</v>
      </c>
      <c r="C215" s="1" t="s">
        <v>41</v>
      </c>
      <c r="D215" s="1" t="s">
        <v>50</v>
      </c>
      <c r="E215" s="1" t="s">
        <v>51</v>
      </c>
      <c r="F215" s="1" t="s">
        <v>50</v>
      </c>
      <c r="G215" s="1" t="s">
        <v>51</v>
      </c>
      <c r="H215" s="1" t="s">
        <v>52</v>
      </c>
      <c r="I215" s="1" t="s">
        <v>53</v>
      </c>
      <c r="J215" s="1">
        <f t="shared" si="3"/>
        <v>100</v>
      </c>
      <c r="K215" s="3">
        <v>1</v>
      </c>
      <c r="L215" s="4">
        <v>66.48</v>
      </c>
      <c r="M215" s="5">
        <v>5.4341999999999997</v>
      </c>
      <c r="N215">
        <v>99.53</v>
      </c>
      <c r="O215">
        <v>98.38</v>
      </c>
      <c r="P215" s="6">
        <v>0.98370000000000002</v>
      </c>
      <c r="Q215" s="6">
        <v>0.9839</v>
      </c>
      <c r="R215">
        <v>6.9999999999999993E-2</v>
      </c>
      <c r="S215">
        <v>0.22999999999999998</v>
      </c>
      <c r="T215" s="7">
        <v>0</v>
      </c>
      <c r="U215" s="7">
        <v>0</v>
      </c>
      <c r="V215" s="7">
        <v>0</v>
      </c>
      <c r="W215" s="7">
        <v>0</v>
      </c>
      <c r="X215" s="6">
        <v>0.72050000000000003</v>
      </c>
      <c r="Y215" s="6">
        <v>0.73939999999999995</v>
      </c>
      <c r="Z215" s="4">
        <v>-12.44</v>
      </c>
      <c r="AA215" s="4">
        <v>-93.75</v>
      </c>
      <c r="AB215" s="6">
        <v>0.99939999999999996</v>
      </c>
      <c r="AC215" s="7">
        <v>100</v>
      </c>
      <c r="AD215" s="6">
        <v>0.83330000000000004</v>
      </c>
      <c r="AE215" s="6">
        <v>7.1000000000000004E-3</v>
      </c>
      <c r="AF215" s="6">
        <v>6.8000000000000005E-2</v>
      </c>
      <c r="AG215" s="7">
        <v>0</v>
      </c>
      <c r="AH215" s="7">
        <v>0</v>
      </c>
      <c r="AI215" s="7">
        <v>144</v>
      </c>
      <c r="AJ215" s="3">
        <v>1</v>
      </c>
      <c r="AK215" s="7">
        <v>789501600</v>
      </c>
      <c r="AL215" s="5">
        <v>85.818399999999997</v>
      </c>
      <c r="AM215" s="5">
        <v>373.47620000000001</v>
      </c>
      <c r="AN215" s="5">
        <v>1124.2554</v>
      </c>
    </row>
    <row r="216" spans="1:40" ht="16.5" x14ac:dyDescent="0.45">
      <c r="A216" s="1" t="s">
        <v>88</v>
      </c>
      <c r="B216" s="1" t="s">
        <v>89</v>
      </c>
      <c r="C216" s="1" t="s">
        <v>41</v>
      </c>
      <c r="D216" s="1" t="s">
        <v>50</v>
      </c>
      <c r="E216" s="1" t="s">
        <v>51</v>
      </c>
      <c r="F216" s="1" t="s">
        <v>50</v>
      </c>
      <c r="G216" s="1" t="s">
        <v>51</v>
      </c>
      <c r="H216" s="1" t="s">
        <v>54</v>
      </c>
      <c r="I216" s="1" t="s">
        <v>55</v>
      </c>
      <c r="J216" s="1">
        <f t="shared" si="3"/>
        <v>100</v>
      </c>
      <c r="K216" s="3">
        <v>1</v>
      </c>
      <c r="L216" s="4">
        <v>34.08</v>
      </c>
      <c r="M216" s="5">
        <v>4.4345999999999997</v>
      </c>
      <c r="N216">
        <v>99.62</v>
      </c>
      <c r="O216">
        <v>99.87</v>
      </c>
      <c r="P216" s="6">
        <v>0.99870000000000003</v>
      </c>
      <c r="Q216" s="6">
        <v>0.99880000000000002</v>
      </c>
      <c r="R216">
        <v>0.04</v>
      </c>
      <c r="S216">
        <v>0.08</v>
      </c>
      <c r="T216" s="7">
        <v>0</v>
      </c>
      <c r="U216" s="7">
        <v>0</v>
      </c>
      <c r="V216" s="7">
        <v>0</v>
      </c>
      <c r="W216" s="7">
        <v>0</v>
      </c>
      <c r="X216" s="6">
        <v>0.65090000000000003</v>
      </c>
      <c r="Y216" s="6">
        <v>0.35599999999999998</v>
      </c>
      <c r="Z216" s="4">
        <v>-11.5</v>
      </c>
      <c r="AA216" s="4">
        <v>-95.89</v>
      </c>
      <c r="AB216" s="6">
        <v>0.99960000000000004</v>
      </c>
      <c r="AD216" s="3">
        <v>1</v>
      </c>
      <c r="AE216" s="6">
        <v>6.1999999999999998E-3</v>
      </c>
      <c r="AF216" s="6">
        <v>4.6399999999999997E-2</v>
      </c>
      <c r="AG216" s="7">
        <v>0</v>
      </c>
      <c r="AH216" s="7">
        <v>0</v>
      </c>
      <c r="AI216" s="7">
        <v>44</v>
      </c>
      <c r="AJ216" s="3">
        <v>1</v>
      </c>
      <c r="AK216" s="7">
        <v>789501600</v>
      </c>
      <c r="AL216" s="5">
        <v>48.183300000000003</v>
      </c>
      <c r="AM216" s="5">
        <v>283.65030000000002</v>
      </c>
      <c r="AN216" s="5">
        <v>932.69880000000001</v>
      </c>
    </row>
    <row r="217" spans="1:40" ht="16.5" x14ac:dyDescent="0.45">
      <c r="A217" s="1" t="s">
        <v>88</v>
      </c>
      <c r="B217" s="1" t="s">
        <v>89</v>
      </c>
      <c r="C217" s="1" t="s">
        <v>41</v>
      </c>
      <c r="D217" s="1" t="s">
        <v>50</v>
      </c>
      <c r="E217" s="1" t="s">
        <v>51</v>
      </c>
      <c r="F217" s="1" t="s">
        <v>50</v>
      </c>
      <c r="G217" s="1" t="s">
        <v>51</v>
      </c>
      <c r="H217" s="1" t="s">
        <v>56</v>
      </c>
      <c r="I217" s="1" t="s">
        <v>57</v>
      </c>
      <c r="J217" s="1">
        <f t="shared" si="3"/>
        <v>100</v>
      </c>
      <c r="K217" s="3">
        <v>1</v>
      </c>
      <c r="L217" s="4">
        <v>64.489999999999995</v>
      </c>
      <c r="M217" s="5">
        <v>5.2801</v>
      </c>
      <c r="N217">
        <v>99.82</v>
      </c>
      <c r="O217">
        <v>99.81</v>
      </c>
      <c r="P217" s="6">
        <v>0.99819999999999998</v>
      </c>
      <c r="Q217" s="6">
        <v>0.99829999999999997</v>
      </c>
      <c r="R217">
        <v>0.06</v>
      </c>
      <c r="S217">
        <v>0.09</v>
      </c>
      <c r="T217" s="7">
        <v>0</v>
      </c>
      <c r="U217" s="7">
        <v>0</v>
      </c>
      <c r="V217" s="7">
        <v>0</v>
      </c>
      <c r="W217" s="7">
        <v>0</v>
      </c>
      <c r="X217" s="6">
        <v>0.77939999999999998</v>
      </c>
      <c r="Y217" s="6">
        <v>0.48720000000000002</v>
      </c>
      <c r="Z217" s="4">
        <v>-11.7</v>
      </c>
      <c r="AA217" s="4">
        <v>-92.66</v>
      </c>
      <c r="AB217" s="6">
        <v>0.99980000000000002</v>
      </c>
      <c r="AD217" s="3">
        <v>0.75</v>
      </c>
      <c r="AE217" s="6">
        <v>7.1000000000000004E-3</v>
      </c>
      <c r="AF217" s="6">
        <v>4.8399999999999999E-2</v>
      </c>
      <c r="AG217" s="7">
        <v>0</v>
      </c>
      <c r="AH217" s="7">
        <v>0</v>
      </c>
      <c r="AI217" s="7">
        <v>64</v>
      </c>
      <c r="AJ217" s="3">
        <v>1</v>
      </c>
      <c r="AK217" s="7">
        <v>789501600</v>
      </c>
      <c r="AL217" s="5">
        <v>60.673299999999998</v>
      </c>
      <c r="AM217" s="5">
        <v>314.01429999999999</v>
      </c>
      <c r="AN217" s="5">
        <v>1109.0449000000001</v>
      </c>
    </row>
    <row r="218" spans="1:40" ht="16.5" x14ac:dyDescent="0.45">
      <c r="A218" s="1" t="s">
        <v>88</v>
      </c>
      <c r="B218" s="1" t="s">
        <v>89</v>
      </c>
      <c r="C218" s="1" t="s">
        <v>41</v>
      </c>
      <c r="D218" s="1" t="s">
        <v>50</v>
      </c>
      <c r="E218" s="1" t="s">
        <v>51</v>
      </c>
      <c r="F218" s="1" t="s">
        <v>50</v>
      </c>
      <c r="G218" s="1" t="s">
        <v>51</v>
      </c>
      <c r="H218" s="1" t="s">
        <v>58</v>
      </c>
      <c r="I218" s="1" t="s">
        <v>59</v>
      </c>
      <c r="J218" s="1">
        <f t="shared" si="3"/>
        <v>21.01</v>
      </c>
      <c r="K218" s="6">
        <v>0.21010000000000001</v>
      </c>
      <c r="L218" s="4">
        <v>9.24</v>
      </c>
      <c r="M218" s="5">
        <v>0.95909999999999995</v>
      </c>
      <c r="N218">
        <v>100</v>
      </c>
      <c r="O218">
        <v>99.61</v>
      </c>
      <c r="P218" s="6">
        <v>0.99609999999999999</v>
      </c>
      <c r="Q218" s="6">
        <v>0.99609999999999999</v>
      </c>
      <c r="R218">
        <v>0</v>
      </c>
      <c r="S218">
        <v>0.1</v>
      </c>
      <c r="T218" s="7">
        <v>0</v>
      </c>
      <c r="U218" s="7">
        <v>0</v>
      </c>
      <c r="V218" s="7">
        <v>0</v>
      </c>
      <c r="W218" s="7">
        <v>0</v>
      </c>
      <c r="X218" s="6">
        <v>0.62050000000000005</v>
      </c>
      <c r="Y218" s="6">
        <v>0.25629999999999997</v>
      </c>
      <c r="Z218" s="4">
        <v>-10.67</v>
      </c>
      <c r="AA218" s="4">
        <v>-99.08</v>
      </c>
      <c r="AB218" s="6">
        <v>0.999</v>
      </c>
      <c r="AD218" s="3">
        <v>1</v>
      </c>
      <c r="AE218" s="6">
        <v>6.6E-3</v>
      </c>
      <c r="AF218" s="6">
        <v>6.3700000000000007E-2</v>
      </c>
      <c r="AG218" s="7">
        <v>0</v>
      </c>
      <c r="AH218" s="7">
        <v>0</v>
      </c>
      <c r="AI218" s="7">
        <v>25</v>
      </c>
      <c r="AJ218" s="3">
        <v>1</v>
      </c>
      <c r="AK218" s="7">
        <v>789518661</v>
      </c>
      <c r="AL218" s="5">
        <v>8.5566999999999993</v>
      </c>
      <c r="AM218" s="5">
        <v>51.918300000000002</v>
      </c>
      <c r="AN218" s="5">
        <v>210.58099999999999</v>
      </c>
    </row>
    <row r="219" spans="1:40" ht="16.5" x14ac:dyDescent="0.45">
      <c r="A219" s="1" t="s">
        <v>89</v>
      </c>
      <c r="B219" s="1" t="s">
        <v>90</v>
      </c>
      <c r="C219" s="1" t="s">
        <v>41</v>
      </c>
      <c r="D219" s="1" t="s">
        <v>42</v>
      </c>
      <c r="E219" s="1" t="s">
        <v>43</v>
      </c>
      <c r="F219" s="1" t="s">
        <v>42</v>
      </c>
      <c r="G219" s="1" t="s">
        <v>43</v>
      </c>
      <c r="H219" s="1" t="s">
        <v>44</v>
      </c>
      <c r="I219" s="1" t="s">
        <v>45</v>
      </c>
      <c r="J219" s="1">
        <f t="shared" si="3"/>
        <v>100</v>
      </c>
      <c r="K219" s="3">
        <v>1</v>
      </c>
      <c r="L219" s="4">
        <v>33.869999999999997</v>
      </c>
      <c r="M219" s="5">
        <v>4.0044000000000004</v>
      </c>
      <c r="N219">
        <v>99.74</v>
      </c>
      <c r="O219">
        <v>99.8</v>
      </c>
      <c r="P219" s="6">
        <v>0.998</v>
      </c>
      <c r="Q219" s="6">
        <v>0.998</v>
      </c>
      <c r="R219">
        <v>0.05</v>
      </c>
      <c r="S219">
        <v>6.9999999999999993E-2</v>
      </c>
      <c r="T219" s="7">
        <v>0</v>
      </c>
      <c r="U219" s="7">
        <v>0</v>
      </c>
      <c r="V219" s="7">
        <v>0</v>
      </c>
      <c r="W219" s="7">
        <v>0</v>
      </c>
      <c r="X219" s="6">
        <v>0.48930000000000001</v>
      </c>
      <c r="Y219" s="6">
        <v>0.19350000000000001</v>
      </c>
      <c r="Z219" s="4">
        <v>-10.44</v>
      </c>
      <c r="AA219" s="4">
        <v>-97.32</v>
      </c>
      <c r="AB219" s="6">
        <v>0.99960000000000004</v>
      </c>
      <c r="AC219" s="7">
        <v>100</v>
      </c>
      <c r="AD219" s="6">
        <v>0.63639999999999997</v>
      </c>
      <c r="AE219" s="6">
        <v>4.4000000000000003E-3</v>
      </c>
      <c r="AF219" s="6">
        <v>4.48E-2</v>
      </c>
      <c r="AG219" s="7">
        <v>0</v>
      </c>
      <c r="AH219" s="7">
        <v>0</v>
      </c>
      <c r="AI219" s="7">
        <v>51</v>
      </c>
      <c r="AJ219" s="6">
        <v>0.99990000000000001</v>
      </c>
      <c r="AK219" s="7">
        <v>789501600</v>
      </c>
      <c r="AL219" s="5">
        <v>38.68</v>
      </c>
      <c r="AM219" s="5">
        <v>221.1943</v>
      </c>
      <c r="AN219" s="5">
        <v>852.3614</v>
      </c>
    </row>
    <row r="220" spans="1:40" ht="16.5" x14ac:dyDescent="0.45">
      <c r="A220" s="1" t="s">
        <v>89</v>
      </c>
      <c r="B220" s="1" t="s">
        <v>90</v>
      </c>
      <c r="C220" s="1" t="s">
        <v>41</v>
      </c>
      <c r="D220" s="1" t="s">
        <v>42</v>
      </c>
      <c r="E220" s="1" t="s">
        <v>43</v>
      </c>
      <c r="F220" s="1" t="s">
        <v>42</v>
      </c>
      <c r="G220" s="1" t="s">
        <v>43</v>
      </c>
      <c r="H220" s="1" t="s">
        <v>46</v>
      </c>
      <c r="I220" s="1" t="s">
        <v>47</v>
      </c>
      <c r="J220" s="1">
        <f t="shared" si="3"/>
        <v>100</v>
      </c>
      <c r="K220" s="3">
        <v>1</v>
      </c>
      <c r="L220" s="4">
        <v>22.68</v>
      </c>
      <c r="M220" s="5">
        <v>3.0124</v>
      </c>
      <c r="N220">
        <v>99.69</v>
      </c>
      <c r="O220">
        <v>99.9</v>
      </c>
      <c r="P220" s="6">
        <v>0.999</v>
      </c>
      <c r="Q220" s="6">
        <v>0.999</v>
      </c>
      <c r="R220">
        <v>0</v>
      </c>
      <c r="S220">
        <v>0.05</v>
      </c>
      <c r="T220" s="7">
        <v>0</v>
      </c>
      <c r="U220" s="7">
        <v>0</v>
      </c>
      <c r="V220" s="7">
        <v>0</v>
      </c>
      <c r="W220" s="7">
        <v>0</v>
      </c>
      <c r="X220" s="6">
        <v>0.3644</v>
      </c>
      <c r="Y220" s="6">
        <v>0.13009999999999999</v>
      </c>
      <c r="Z220" s="4">
        <v>-9.26</v>
      </c>
      <c r="AA220" s="4">
        <v>-98.68</v>
      </c>
      <c r="AB220" s="6">
        <v>0.99939999999999996</v>
      </c>
      <c r="AD220" s="3">
        <v>1</v>
      </c>
      <c r="AE220" s="6">
        <v>4.5999999999999999E-3</v>
      </c>
      <c r="AF220" s="6">
        <v>4.6100000000000002E-2</v>
      </c>
      <c r="AG220" s="7">
        <v>0</v>
      </c>
      <c r="AH220" s="7">
        <v>0</v>
      </c>
      <c r="AI220" s="7">
        <v>60</v>
      </c>
      <c r="AJ220" s="3">
        <v>1</v>
      </c>
      <c r="AK220" s="7">
        <v>789501600</v>
      </c>
      <c r="AL220" s="5">
        <v>27.506699999999999</v>
      </c>
      <c r="AM220" s="5">
        <v>130.524</v>
      </c>
      <c r="AN220" s="5">
        <v>680.14120000000003</v>
      </c>
    </row>
    <row r="221" spans="1:40" ht="16.5" x14ac:dyDescent="0.45">
      <c r="A221" s="1" t="s">
        <v>89</v>
      </c>
      <c r="B221" s="1" t="s">
        <v>90</v>
      </c>
      <c r="C221" s="1" t="s">
        <v>41</v>
      </c>
      <c r="D221" s="1" t="s">
        <v>42</v>
      </c>
      <c r="E221" s="1" t="s">
        <v>43</v>
      </c>
      <c r="F221" s="1" t="s">
        <v>42</v>
      </c>
      <c r="G221" s="1" t="s">
        <v>43</v>
      </c>
      <c r="H221" s="1" t="s">
        <v>48</v>
      </c>
      <c r="I221" s="1" t="s">
        <v>49</v>
      </c>
      <c r="J221" s="1">
        <f t="shared" si="3"/>
        <v>100</v>
      </c>
      <c r="K221" s="3">
        <v>1</v>
      </c>
      <c r="L221" s="4">
        <v>26.56</v>
      </c>
      <c r="M221" s="5">
        <v>3.8166000000000002</v>
      </c>
      <c r="N221">
        <v>99.51</v>
      </c>
      <c r="O221">
        <v>99.72999999999999</v>
      </c>
      <c r="P221" s="6">
        <v>0.99729999999999996</v>
      </c>
      <c r="Q221" s="6">
        <v>0.99729999999999996</v>
      </c>
      <c r="R221">
        <v>0.19</v>
      </c>
      <c r="S221">
        <v>0.1</v>
      </c>
      <c r="T221" s="7">
        <v>0</v>
      </c>
      <c r="U221" s="7">
        <v>0</v>
      </c>
      <c r="V221" s="7">
        <v>0</v>
      </c>
      <c r="W221" s="7">
        <v>0</v>
      </c>
      <c r="X221" s="6">
        <v>0.52600000000000002</v>
      </c>
      <c r="Y221" s="6">
        <v>0.2074</v>
      </c>
      <c r="Z221" s="4">
        <v>-9.4600000000000009</v>
      </c>
      <c r="AA221" s="4">
        <v>-97.99</v>
      </c>
      <c r="AB221" s="6">
        <v>0.99939999999999996</v>
      </c>
      <c r="AC221" s="7">
        <v>100</v>
      </c>
      <c r="AD221" s="6">
        <v>0.97919999999999996</v>
      </c>
      <c r="AE221" s="6">
        <v>5.1999999999999998E-3</v>
      </c>
      <c r="AF221" s="6">
        <v>4.2099999999999999E-2</v>
      </c>
      <c r="AG221" s="7">
        <v>0</v>
      </c>
      <c r="AH221" s="7">
        <v>0</v>
      </c>
      <c r="AI221" s="7">
        <v>44</v>
      </c>
      <c r="AJ221" s="6">
        <v>0.99960000000000004</v>
      </c>
      <c r="AK221" s="7">
        <v>789501600</v>
      </c>
      <c r="AL221" s="5">
        <v>36.928400000000003</v>
      </c>
      <c r="AM221" s="5">
        <v>182.98159999999999</v>
      </c>
      <c r="AN221" s="5">
        <v>881.61080000000004</v>
      </c>
    </row>
    <row r="222" spans="1:40" ht="16.5" x14ac:dyDescent="0.45">
      <c r="A222" s="1" t="s">
        <v>89</v>
      </c>
      <c r="B222" s="1" t="s">
        <v>90</v>
      </c>
      <c r="C222" s="1" t="s">
        <v>41</v>
      </c>
      <c r="D222" s="1" t="s">
        <v>50</v>
      </c>
      <c r="E222" s="1" t="s">
        <v>51</v>
      </c>
      <c r="F222" s="1" t="s">
        <v>50</v>
      </c>
      <c r="G222" s="1" t="s">
        <v>51</v>
      </c>
      <c r="H222" s="1" t="s">
        <v>52</v>
      </c>
      <c r="I222" s="1" t="s">
        <v>53</v>
      </c>
      <c r="J222" s="1">
        <f t="shared" si="3"/>
        <v>100</v>
      </c>
      <c r="K222" s="3">
        <v>1</v>
      </c>
      <c r="L222" s="4">
        <v>73.47</v>
      </c>
      <c r="M222" s="5">
        <v>5.0663999999999998</v>
      </c>
      <c r="N222">
        <v>99.71</v>
      </c>
      <c r="O222">
        <v>98.92</v>
      </c>
      <c r="P222" s="6">
        <v>0.98919999999999997</v>
      </c>
      <c r="Q222" s="6">
        <v>0.98939999999999995</v>
      </c>
      <c r="R222">
        <v>0.13</v>
      </c>
      <c r="S222">
        <v>0.16</v>
      </c>
      <c r="T222" s="7">
        <v>0</v>
      </c>
      <c r="U222" s="7">
        <v>0</v>
      </c>
      <c r="V222" s="7">
        <v>0</v>
      </c>
      <c r="W222" s="7">
        <v>0</v>
      </c>
      <c r="X222" s="6">
        <v>0.70379999999999998</v>
      </c>
      <c r="Y222" s="6">
        <v>0.68140000000000001</v>
      </c>
      <c r="Z222" s="4">
        <v>-12.33</v>
      </c>
      <c r="AA222" s="4">
        <v>-93.98</v>
      </c>
      <c r="AB222" s="6">
        <v>0.99970000000000003</v>
      </c>
      <c r="AC222" s="7">
        <v>100</v>
      </c>
      <c r="AD222" s="3">
        <v>1</v>
      </c>
      <c r="AE222" s="6">
        <v>7.0000000000000001E-3</v>
      </c>
      <c r="AF222" s="6">
        <v>7.6200000000000004E-2</v>
      </c>
      <c r="AG222" s="7">
        <v>0</v>
      </c>
      <c r="AH222" s="7">
        <v>0</v>
      </c>
      <c r="AI222" s="7">
        <v>121</v>
      </c>
      <c r="AJ222" s="3">
        <v>1</v>
      </c>
      <c r="AK222" s="7">
        <v>789501600</v>
      </c>
      <c r="AL222" s="5">
        <v>81.848399999999998</v>
      </c>
      <c r="AM222" s="5">
        <v>332.33600000000001</v>
      </c>
      <c r="AN222" s="5">
        <v>1056.9409000000001</v>
      </c>
    </row>
    <row r="223" spans="1:40" ht="16.5" x14ac:dyDescent="0.45">
      <c r="A223" s="1" t="s">
        <v>89</v>
      </c>
      <c r="B223" s="1" t="s">
        <v>90</v>
      </c>
      <c r="C223" s="1" t="s">
        <v>41</v>
      </c>
      <c r="D223" s="1" t="s">
        <v>50</v>
      </c>
      <c r="E223" s="1" t="s">
        <v>51</v>
      </c>
      <c r="F223" s="1" t="s">
        <v>50</v>
      </c>
      <c r="G223" s="1" t="s">
        <v>51</v>
      </c>
      <c r="H223" s="1" t="s">
        <v>54</v>
      </c>
      <c r="I223" s="1" t="s">
        <v>55</v>
      </c>
      <c r="J223" s="1">
        <f t="shared" si="3"/>
        <v>100</v>
      </c>
      <c r="K223" s="3">
        <v>1</v>
      </c>
      <c r="L223" s="4">
        <v>37.51</v>
      </c>
      <c r="M223" s="5">
        <v>4.0434999999999999</v>
      </c>
      <c r="N223">
        <v>99.79</v>
      </c>
      <c r="O223">
        <v>99.87</v>
      </c>
      <c r="P223" s="6">
        <v>0.99860000000000004</v>
      </c>
      <c r="Q223" s="6">
        <v>0.99870000000000003</v>
      </c>
      <c r="R223">
        <v>0.13</v>
      </c>
      <c r="S223">
        <v>0.09</v>
      </c>
      <c r="T223" s="7">
        <v>0</v>
      </c>
      <c r="U223" s="7">
        <v>0</v>
      </c>
      <c r="V223" s="7">
        <v>0</v>
      </c>
      <c r="W223" s="7">
        <v>0</v>
      </c>
      <c r="X223" s="6">
        <v>0.66369999999999996</v>
      </c>
      <c r="Y223" s="6">
        <v>0.28179999999999999</v>
      </c>
      <c r="Z223" s="4">
        <v>-11.39</v>
      </c>
      <c r="AA223" s="4">
        <v>-96.17</v>
      </c>
      <c r="AB223" s="6">
        <v>0.99960000000000004</v>
      </c>
      <c r="AD223" s="3">
        <v>1</v>
      </c>
      <c r="AE223" s="6">
        <v>5.4000000000000003E-3</v>
      </c>
      <c r="AF223" s="6">
        <v>4.5100000000000001E-2</v>
      </c>
      <c r="AG223" s="7">
        <v>0</v>
      </c>
      <c r="AH223" s="7">
        <v>0</v>
      </c>
      <c r="AI223" s="7">
        <v>37</v>
      </c>
      <c r="AJ223" s="3">
        <v>1</v>
      </c>
      <c r="AK223" s="7">
        <v>789501600</v>
      </c>
      <c r="AL223" s="5">
        <v>40.715000000000003</v>
      </c>
      <c r="AM223" s="5">
        <v>237.9511</v>
      </c>
      <c r="AN223" s="5">
        <v>872.53</v>
      </c>
    </row>
    <row r="224" spans="1:40" ht="16.5" x14ac:dyDescent="0.45">
      <c r="A224" s="1" t="s">
        <v>89</v>
      </c>
      <c r="B224" s="1" t="s">
        <v>90</v>
      </c>
      <c r="C224" s="1" t="s">
        <v>41</v>
      </c>
      <c r="D224" s="1" t="s">
        <v>50</v>
      </c>
      <c r="E224" s="1" t="s">
        <v>51</v>
      </c>
      <c r="F224" s="1" t="s">
        <v>50</v>
      </c>
      <c r="G224" s="1" t="s">
        <v>51</v>
      </c>
      <c r="H224" s="1" t="s">
        <v>56</v>
      </c>
      <c r="I224" s="1" t="s">
        <v>57</v>
      </c>
      <c r="J224" s="1">
        <f t="shared" si="3"/>
        <v>100</v>
      </c>
      <c r="K224" s="3">
        <v>1</v>
      </c>
      <c r="L224" s="4">
        <v>65.05</v>
      </c>
      <c r="M224" s="5">
        <v>5.4085999999999999</v>
      </c>
      <c r="N224">
        <v>99.839999999999989</v>
      </c>
      <c r="O224">
        <v>99.83</v>
      </c>
      <c r="P224" s="6">
        <v>0.99829999999999997</v>
      </c>
      <c r="Q224" s="6">
        <v>0.99829999999999997</v>
      </c>
      <c r="R224">
        <v>0.06</v>
      </c>
      <c r="S224">
        <v>0.09</v>
      </c>
      <c r="T224" s="7">
        <v>0</v>
      </c>
      <c r="U224" s="7">
        <v>0</v>
      </c>
      <c r="V224" s="7">
        <v>0</v>
      </c>
      <c r="W224" s="7">
        <v>0</v>
      </c>
      <c r="X224" s="6">
        <v>0.77229999999999999</v>
      </c>
      <c r="Y224" s="6">
        <v>0.50480000000000003</v>
      </c>
      <c r="Z224" s="4">
        <v>-11.6</v>
      </c>
      <c r="AA224" s="4">
        <v>-92.91</v>
      </c>
      <c r="AB224" s="6">
        <v>0.99950000000000006</v>
      </c>
      <c r="AD224" s="6">
        <v>0.8095</v>
      </c>
      <c r="AE224" s="6">
        <v>6.7000000000000002E-3</v>
      </c>
      <c r="AF224" s="6">
        <v>4.5900000000000003E-2</v>
      </c>
      <c r="AG224" s="7">
        <v>0</v>
      </c>
      <c r="AH224" s="7">
        <v>0</v>
      </c>
      <c r="AI224" s="7">
        <v>70</v>
      </c>
      <c r="AJ224" s="3">
        <v>1</v>
      </c>
      <c r="AK224" s="7">
        <v>789501600</v>
      </c>
      <c r="AL224" s="5">
        <v>63.235100000000003</v>
      </c>
      <c r="AM224" s="5">
        <v>338.35579999999999</v>
      </c>
      <c r="AN224" s="5">
        <v>1127.6431</v>
      </c>
    </row>
    <row r="225" spans="1:40" ht="16.5" x14ac:dyDescent="0.45">
      <c r="A225" s="1" t="s">
        <v>89</v>
      </c>
      <c r="B225" s="1" t="s">
        <v>90</v>
      </c>
      <c r="C225" s="1" t="s">
        <v>41</v>
      </c>
      <c r="D225" s="1" t="s">
        <v>50</v>
      </c>
      <c r="E225" s="1" t="s">
        <v>51</v>
      </c>
      <c r="F225" s="1" t="s">
        <v>50</v>
      </c>
      <c r="G225" s="1" t="s">
        <v>51</v>
      </c>
      <c r="H225" s="1" t="s">
        <v>58</v>
      </c>
      <c r="I225" s="1" t="s">
        <v>59</v>
      </c>
      <c r="J225" s="1">
        <f t="shared" si="3"/>
        <v>66.19</v>
      </c>
      <c r="K225" s="6">
        <v>0.66190000000000004</v>
      </c>
      <c r="L225" s="4">
        <v>26.56</v>
      </c>
      <c r="M225" s="5">
        <v>3.1038999999999999</v>
      </c>
      <c r="N225">
        <v>99.3</v>
      </c>
      <c r="O225">
        <v>99.68</v>
      </c>
      <c r="P225" s="6">
        <v>0.99680000000000002</v>
      </c>
      <c r="Q225" s="6">
        <v>0.99680000000000002</v>
      </c>
      <c r="R225">
        <v>1.1900000000000002</v>
      </c>
      <c r="S225">
        <v>0.18</v>
      </c>
      <c r="T225" s="7">
        <v>1</v>
      </c>
      <c r="U225" s="7">
        <v>0</v>
      </c>
      <c r="V225" s="7">
        <v>0</v>
      </c>
      <c r="W225" s="7">
        <v>0</v>
      </c>
      <c r="X225" s="6">
        <v>0.56030000000000002</v>
      </c>
      <c r="Y225" s="6">
        <v>0.29330000000000001</v>
      </c>
      <c r="Z225" s="4">
        <v>-10.16</v>
      </c>
      <c r="AA225" s="4">
        <v>-99.28</v>
      </c>
      <c r="AB225" s="6">
        <v>0.99739999999999995</v>
      </c>
      <c r="AD225" s="6">
        <v>0.83330000000000004</v>
      </c>
      <c r="AE225" s="6">
        <v>6.0000000000000001E-3</v>
      </c>
      <c r="AF225" s="6">
        <v>6.7799999999999999E-2</v>
      </c>
      <c r="AG225" s="7">
        <v>0</v>
      </c>
      <c r="AH225" s="7">
        <v>0</v>
      </c>
      <c r="AI225" s="7">
        <v>60</v>
      </c>
      <c r="AJ225" s="6">
        <v>0.99990000000000001</v>
      </c>
      <c r="AK225" s="7">
        <v>789508903</v>
      </c>
      <c r="AL225" s="7">
        <v>27</v>
      </c>
      <c r="AM225" s="5">
        <v>155.65620000000001</v>
      </c>
      <c r="AN225" s="5">
        <v>701.60559999999998</v>
      </c>
    </row>
    <row r="226" spans="1:40" ht="16.5" x14ac:dyDescent="0.45">
      <c r="A226" s="1" t="s">
        <v>90</v>
      </c>
      <c r="B226" s="1" t="s">
        <v>91</v>
      </c>
      <c r="C226" s="1" t="s">
        <v>41</v>
      </c>
      <c r="D226" s="1" t="s">
        <v>42</v>
      </c>
      <c r="E226" s="1" t="s">
        <v>43</v>
      </c>
      <c r="F226" s="1" t="s">
        <v>42</v>
      </c>
      <c r="G226" s="1" t="s">
        <v>43</v>
      </c>
      <c r="H226" s="1" t="s">
        <v>44</v>
      </c>
      <c r="I226" s="1" t="s">
        <v>45</v>
      </c>
      <c r="J226" s="1">
        <f t="shared" si="3"/>
        <v>100</v>
      </c>
      <c r="K226" s="3">
        <v>1</v>
      </c>
      <c r="L226" s="4">
        <v>32.479999999999997</v>
      </c>
      <c r="M226" s="5">
        <v>4.3879999999999999</v>
      </c>
      <c r="N226">
        <v>99.7</v>
      </c>
      <c r="O226">
        <v>99.8</v>
      </c>
      <c r="P226" s="6">
        <v>0.998</v>
      </c>
      <c r="Q226" s="6">
        <v>0.99790000000000001</v>
      </c>
      <c r="R226">
        <v>0.09</v>
      </c>
      <c r="S226">
        <v>0.11</v>
      </c>
      <c r="T226" s="7">
        <v>0</v>
      </c>
      <c r="U226" s="7">
        <v>0</v>
      </c>
      <c r="V226" s="7">
        <v>0</v>
      </c>
      <c r="W226" s="7">
        <v>0</v>
      </c>
      <c r="X226" s="6">
        <v>0.50509999999999999</v>
      </c>
      <c r="Y226" s="6">
        <v>0.18609999999999999</v>
      </c>
      <c r="Z226" s="4">
        <v>-10.76</v>
      </c>
      <c r="AA226" s="4">
        <v>-96.87</v>
      </c>
      <c r="AB226" s="6">
        <v>0.99939999999999996</v>
      </c>
      <c r="AC226" s="7">
        <v>100</v>
      </c>
      <c r="AD226" s="3">
        <v>1</v>
      </c>
      <c r="AE226" s="6">
        <v>4.5999999999999999E-3</v>
      </c>
      <c r="AF226" s="6">
        <v>4.8500000000000001E-2</v>
      </c>
      <c r="AG226" s="7">
        <v>0</v>
      </c>
      <c r="AH226" s="7">
        <v>0</v>
      </c>
      <c r="AI226" s="7">
        <v>43</v>
      </c>
      <c r="AJ226" s="6">
        <v>0.99990000000000001</v>
      </c>
      <c r="AK226" s="7">
        <v>789501600</v>
      </c>
      <c r="AL226" s="5">
        <v>40.8367</v>
      </c>
      <c r="AM226" s="5">
        <v>255.64340000000001</v>
      </c>
      <c r="AN226" s="5">
        <v>949.04909999999995</v>
      </c>
    </row>
    <row r="227" spans="1:40" ht="16.5" x14ac:dyDescent="0.45">
      <c r="A227" s="1" t="s">
        <v>90</v>
      </c>
      <c r="B227" s="1" t="s">
        <v>91</v>
      </c>
      <c r="C227" s="1" t="s">
        <v>41</v>
      </c>
      <c r="D227" s="1" t="s">
        <v>42</v>
      </c>
      <c r="E227" s="1" t="s">
        <v>43</v>
      </c>
      <c r="F227" s="1" t="s">
        <v>42</v>
      </c>
      <c r="G227" s="1" t="s">
        <v>43</v>
      </c>
      <c r="H227" s="1" t="s">
        <v>46</v>
      </c>
      <c r="I227" s="1" t="s">
        <v>47</v>
      </c>
      <c r="J227" s="1">
        <f t="shared" si="3"/>
        <v>100</v>
      </c>
      <c r="K227" s="3">
        <v>1</v>
      </c>
      <c r="L227" s="4">
        <v>27.12</v>
      </c>
      <c r="M227" s="5">
        <v>3.0640000000000001</v>
      </c>
      <c r="N227">
        <v>99.88</v>
      </c>
      <c r="O227">
        <v>99.850000000000009</v>
      </c>
      <c r="P227" s="6">
        <v>0.99850000000000005</v>
      </c>
      <c r="Q227" s="6">
        <v>0.99850000000000005</v>
      </c>
      <c r="R227">
        <v>0.13</v>
      </c>
      <c r="S227">
        <v>0.08</v>
      </c>
      <c r="T227" s="7">
        <v>0</v>
      </c>
      <c r="U227" s="7">
        <v>0</v>
      </c>
      <c r="V227" s="7">
        <v>0</v>
      </c>
      <c r="W227" s="7">
        <v>0</v>
      </c>
      <c r="X227" s="6">
        <v>0.36359999999999998</v>
      </c>
      <c r="Y227" s="6">
        <v>0.1226</v>
      </c>
      <c r="Z227" s="4">
        <v>-9.1300000000000008</v>
      </c>
      <c r="AA227" s="4">
        <v>-98.58</v>
      </c>
      <c r="AB227" s="6">
        <v>0.99970000000000003</v>
      </c>
      <c r="AD227" s="3">
        <v>1</v>
      </c>
      <c r="AE227" s="6">
        <v>4.4999999999999997E-3</v>
      </c>
      <c r="AF227" s="6">
        <v>4.24E-2</v>
      </c>
      <c r="AG227" s="7">
        <v>0</v>
      </c>
      <c r="AH227" s="7">
        <v>0</v>
      </c>
      <c r="AI227" s="7">
        <v>47</v>
      </c>
      <c r="AJ227" s="3">
        <v>1</v>
      </c>
      <c r="AK227" s="7">
        <v>789501600</v>
      </c>
      <c r="AL227" s="5">
        <v>26.021699999999999</v>
      </c>
      <c r="AM227" s="5">
        <v>125.04689999999999</v>
      </c>
      <c r="AN227" s="5">
        <v>713.58479999999997</v>
      </c>
    </row>
    <row r="228" spans="1:40" ht="16.5" x14ac:dyDescent="0.45">
      <c r="A228" s="1" t="s">
        <v>90</v>
      </c>
      <c r="B228" s="1" t="s">
        <v>91</v>
      </c>
      <c r="C228" s="1" t="s">
        <v>41</v>
      </c>
      <c r="D228" s="1" t="s">
        <v>42</v>
      </c>
      <c r="E228" s="1" t="s">
        <v>43</v>
      </c>
      <c r="F228" s="1" t="s">
        <v>42</v>
      </c>
      <c r="G228" s="1" t="s">
        <v>43</v>
      </c>
      <c r="H228" s="1" t="s">
        <v>48</v>
      </c>
      <c r="I228" s="1" t="s">
        <v>49</v>
      </c>
      <c r="J228" s="1">
        <f t="shared" si="3"/>
        <v>100</v>
      </c>
      <c r="K228" s="3">
        <v>1</v>
      </c>
      <c r="L228" s="4">
        <v>26.8</v>
      </c>
      <c r="M228" s="5">
        <v>4.8083999999999998</v>
      </c>
      <c r="N228">
        <v>99.660000000000011</v>
      </c>
      <c r="O228">
        <v>99.74</v>
      </c>
      <c r="P228" s="6">
        <v>0.99739999999999995</v>
      </c>
      <c r="Q228" s="6">
        <v>0.99750000000000005</v>
      </c>
      <c r="R228">
        <v>0.13</v>
      </c>
      <c r="S228">
        <v>0.05</v>
      </c>
      <c r="T228" s="7">
        <v>0</v>
      </c>
      <c r="U228" s="7">
        <v>0</v>
      </c>
      <c r="V228" s="7">
        <v>0</v>
      </c>
      <c r="W228" s="7">
        <v>0</v>
      </c>
      <c r="X228" s="6">
        <v>0.56420000000000003</v>
      </c>
      <c r="Y228" s="6">
        <v>0.214</v>
      </c>
      <c r="Z228" s="4">
        <v>-9.73</v>
      </c>
      <c r="AA228" s="4">
        <v>-97.71</v>
      </c>
      <c r="AB228" s="6">
        <v>0.99960000000000004</v>
      </c>
      <c r="AC228" s="4">
        <v>87.5</v>
      </c>
      <c r="AD228" s="6">
        <v>0.94230000000000003</v>
      </c>
      <c r="AE228" s="6">
        <v>4.8999999999999998E-3</v>
      </c>
      <c r="AF228" s="6">
        <v>3.7999999999999999E-2</v>
      </c>
      <c r="AG228" s="7">
        <v>0</v>
      </c>
      <c r="AH228" s="7">
        <v>0</v>
      </c>
      <c r="AI228" s="7">
        <v>29</v>
      </c>
      <c r="AJ228" s="6">
        <v>0.99960000000000004</v>
      </c>
      <c r="AK228" s="7">
        <v>789501600</v>
      </c>
      <c r="AL228" s="5">
        <v>39.493400000000001</v>
      </c>
      <c r="AM228" s="5">
        <v>267.40769999999998</v>
      </c>
      <c r="AN228" s="5">
        <v>1067.5735</v>
      </c>
    </row>
    <row r="229" spans="1:40" ht="16.5" x14ac:dyDescent="0.45">
      <c r="A229" s="1" t="s">
        <v>90</v>
      </c>
      <c r="B229" s="1" t="s">
        <v>91</v>
      </c>
      <c r="C229" s="1" t="s">
        <v>41</v>
      </c>
      <c r="D229" s="1" t="s">
        <v>50</v>
      </c>
      <c r="E229" s="1" t="s">
        <v>51</v>
      </c>
      <c r="F229" s="1" t="s">
        <v>50</v>
      </c>
      <c r="G229" s="1" t="s">
        <v>51</v>
      </c>
      <c r="H229" s="1" t="s">
        <v>52</v>
      </c>
      <c r="I229" s="1" t="s">
        <v>53</v>
      </c>
      <c r="J229" s="1">
        <f t="shared" si="3"/>
        <v>100</v>
      </c>
      <c r="K229" s="3">
        <v>1</v>
      </c>
      <c r="L229" s="4">
        <v>67.53</v>
      </c>
      <c r="M229" s="5">
        <v>5.3010999999999999</v>
      </c>
      <c r="N229">
        <v>99.7</v>
      </c>
      <c r="O229">
        <v>99.72</v>
      </c>
      <c r="P229" s="6">
        <v>0.99719999999999998</v>
      </c>
      <c r="Q229" s="6">
        <v>0.99709999999999999</v>
      </c>
      <c r="R229">
        <v>0.04</v>
      </c>
      <c r="S229">
        <v>0.12</v>
      </c>
      <c r="T229" s="7">
        <v>0</v>
      </c>
      <c r="U229" s="7">
        <v>0</v>
      </c>
      <c r="V229" s="7">
        <v>0</v>
      </c>
      <c r="W229" s="7">
        <v>0</v>
      </c>
      <c r="X229" s="6">
        <v>0.7046</v>
      </c>
      <c r="Y229" s="6">
        <v>0.58560000000000001</v>
      </c>
      <c r="Z229" s="4">
        <v>-12.29</v>
      </c>
      <c r="AA229" s="4">
        <v>-94.06</v>
      </c>
      <c r="AB229" s="6">
        <v>0.99960000000000004</v>
      </c>
      <c r="AC229" s="7">
        <v>50</v>
      </c>
      <c r="AD229" s="3">
        <v>1</v>
      </c>
      <c r="AE229" s="6">
        <v>6.3E-3</v>
      </c>
      <c r="AF229" s="6">
        <v>7.0499999999999993E-2</v>
      </c>
      <c r="AG229" s="7">
        <v>0</v>
      </c>
      <c r="AH229" s="7">
        <v>0</v>
      </c>
      <c r="AI229" s="7">
        <v>97</v>
      </c>
      <c r="AJ229" s="3">
        <v>1</v>
      </c>
      <c r="AK229" s="7">
        <v>789501600</v>
      </c>
      <c r="AL229" s="5">
        <v>80.933300000000003</v>
      </c>
      <c r="AM229" s="5">
        <v>365.51990000000001</v>
      </c>
      <c r="AN229" s="5">
        <v>1095.7793999999999</v>
      </c>
    </row>
    <row r="230" spans="1:40" ht="16.5" x14ac:dyDescent="0.45">
      <c r="A230" s="1" t="s">
        <v>90</v>
      </c>
      <c r="B230" s="1" t="s">
        <v>91</v>
      </c>
      <c r="C230" s="1" t="s">
        <v>41</v>
      </c>
      <c r="D230" s="1" t="s">
        <v>50</v>
      </c>
      <c r="E230" s="1" t="s">
        <v>51</v>
      </c>
      <c r="F230" s="1" t="s">
        <v>50</v>
      </c>
      <c r="G230" s="1" t="s">
        <v>51</v>
      </c>
      <c r="H230" s="1" t="s">
        <v>54</v>
      </c>
      <c r="I230" s="1" t="s">
        <v>55</v>
      </c>
      <c r="J230" s="1">
        <f t="shared" si="3"/>
        <v>100</v>
      </c>
      <c r="K230" s="3">
        <v>1</v>
      </c>
      <c r="L230" s="4">
        <v>38.92</v>
      </c>
      <c r="M230" s="5">
        <v>4.5179</v>
      </c>
      <c r="N230">
        <v>99.71</v>
      </c>
      <c r="O230">
        <v>99.89</v>
      </c>
      <c r="P230" s="6">
        <v>0.99890000000000001</v>
      </c>
      <c r="Q230" s="6">
        <v>0.999</v>
      </c>
      <c r="R230">
        <v>0.12</v>
      </c>
      <c r="S230">
        <v>6.9999999999999993E-2</v>
      </c>
      <c r="T230" s="7">
        <v>0</v>
      </c>
      <c r="U230" s="7">
        <v>0</v>
      </c>
      <c r="V230" s="7">
        <v>0</v>
      </c>
      <c r="W230" s="7">
        <v>0</v>
      </c>
      <c r="X230" s="6">
        <v>0.68420000000000003</v>
      </c>
      <c r="Y230" s="6">
        <v>0.31709999999999999</v>
      </c>
      <c r="Z230" s="4">
        <v>-11.31</v>
      </c>
      <c r="AA230" s="4">
        <v>-95.58</v>
      </c>
      <c r="AB230" s="6">
        <v>0.99980000000000002</v>
      </c>
      <c r="AD230" s="3">
        <v>1</v>
      </c>
      <c r="AE230" s="6">
        <v>5.5999999999999999E-3</v>
      </c>
      <c r="AF230" s="6">
        <v>4.6300000000000001E-2</v>
      </c>
      <c r="AG230" s="7">
        <v>0</v>
      </c>
      <c r="AH230" s="7">
        <v>0</v>
      </c>
      <c r="AI230" s="7">
        <v>38</v>
      </c>
      <c r="AJ230" s="3">
        <v>1</v>
      </c>
      <c r="AK230" s="7">
        <v>789501600</v>
      </c>
      <c r="AL230" s="5">
        <v>46.436700000000002</v>
      </c>
      <c r="AM230" s="5">
        <v>296.28190000000001</v>
      </c>
      <c r="AN230" s="5">
        <v>952.4221</v>
      </c>
    </row>
    <row r="231" spans="1:40" ht="16.5" x14ac:dyDescent="0.45">
      <c r="A231" s="1" t="s">
        <v>90</v>
      </c>
      <c r="B231" s="1" t="s">
        <v>91</v>
      </c>
      <c r="C231" s="1" t="s">
        <v>41</v>
      </c>
      <c r="D231" s="1" t="s">
        <v>50</v>
      </c>
      <c r="E231" s="1" t="s">
        <v>51</v>
      </c>
      <c r="F231" s="1" t="s">
        <v>50</v>
      </c>
      <c r="G231" s="1" t="s">
        <v>51</v>
      </c>
      <c r="H231" s="1" t="s">
        <v>56</v>
      </c>
      <c r="I231" s="1" t="s">
        <v>57</v>
      </c>
      <c r="J231" s="1">
        <f t="shared" si="3"/>
        <v>100</v>
      </c>
      <c r="K231" s="3">
        <v>1</v>
      </c>
      <c r="L231" s="4">
        <v>67.89</v>
      </c>
      <c r="M231" s="5">
        <v>6.0128000000000004</v>
      </c>
      <c r="N231">
        <v>99.71</v>
      </c>
      <c r="O231">
        <v>99.88</v>
      </c>
      <c r="P231" s="6">
        <v>0.99880000000000002</v>
      </c>
      <c r="Q231" s="6">
        <v>0.99890000000000001</v>
      </c>
      <c r="R231">
        <v>0.06</v>
      </c>
      <c r="S231">
        <v>0.08</v>
      </c>
      <c r="T231" s="7">
        <v>0</v>
      </c>
      <c r="U231" s="7">
        <v>0</v>
      </c>
      <c r="V231" s="7">
        <v>0</v>
      </c>
      <c r="W231" s="7">
        <v>1</v>
      </c>
      <c r="X231" s="6">
        <v>0.78300000000000003</v>
      </c>
      <c r="Y231" s="6">
        <v>0.50560000000000005</v>
      </c>
      <c r="Z231" s="4">
        <v>-11.61</v>
      </c>
      <c r="AA231" s="4">
        <v>-91.82</v>
      </c>
      <c r="AB231" s="6">
        <v>0.99950000000000006</v>
      </c>
      <c r="AD231" s="6">
        <v>0.82140000000000002</v>
      </c>
      <c r="AE231" s="6">
        <v>7.1999999999999998E-3</v>
      </c>
      <c r="AF231" s="3">
        <v>0.04</v>
      </c>
      <c r="AG231" s="7">
        <v>0</v>
      </c>
      <c r="AH231" s="7">
        <v>0</v>
      </c>
      <c r="AI231" s="7">
        <v>51</v>
      </c>
      <c r="AJ231" s="3">
        <v>1</v>
      </c>
      <c r="AK231" s="7">
        <v>789501600</v>
      </c>
      <c r="AL231" s="5">
        <v>63.948399999999999</v>
      </c>
      <c r="AM231" s="5">
        <v>452.63420000000002</v>
      </c>
      <c r="AN231" s="5">
        <v>1186.3434999999999</v>
      </c>
    </row>
    <row r="232" spans="1:40" ht="16.5" x14ac:dyDescent="0.45">
      <c r="A232" s="1" t="s">
        <v>90</v>
      </c>
      <c r="B232" s="1" t="s">
        <v>91</v>
      </c>
      <c r="C232" s="1" t="s">
        <v>41</v>
      </c>
      <c r="D232" s="1" t="s">
        <v>50</v>
      </c>
      <c r="E232" s="1" t="s">
        <v>51</v>
      </c>
      <c r="F232" s="1" t="s">
        <v>50</v>
      </c>
      <c r="G232" s="1" t="s">
        <v>51</v>
      </c>
      <c r="H232" s="1" t="s">
        <v>58</v>
      </c>
      <c r="I232" s="1" t="s">
        <v>59</v>
      </c>
      <c r="J232" s="1">
        <f t="shared" si="3"/>
        <v>100</v>
      </c>
      <c r="K232" s="3">
        <v>1</v>
      </c>
      <c r="L232" s="4">
        <v>37.200000000000003</v>
      </c>
      <c r="M232" s="5">
        <v>5.1924000000000001</v>
      </c>
      <c r="N232">
        <v>99.72999999999999</v>
      </c>
      <c r="O232">
        <v>99.839999999999989</v>
      </c>
      <c r="P232" s="6">
        <v>0.99839999999999995</v>
      </c>
      <c r="Q232" s="6">
        <v>0.99850000000000005</v>
      </c>
      <c r="R232">
        <v>0.04</v>
      </c>
      <c r="S232">
        <v>0.09</v>
      </c>
      <c r="T232" s="7">
        <v>0</v>
      </c>
      <c r="U232" s="7">
        <v>0</v>
      </c>
      <c r="V232" s="7">
        <v>0</v>
      </c>
      <c r="W232" s="7">
        <v>0</v>
      </c>
      <c r="X232" s="6">
        <v>0.59770000000000001</v>
      </c>
      <c r="Y232" s="6">
        <v>0.36520000000000002</v>
      </c>
      <c r="Z232" s="4">
        <v>-10.4</v>
      </c>
      <c r="AA232" s="4">
        <v>-99.41</v>
      </c>
      <c r="AB232" s="6">
        <v>0.99960000000000004</v>
      </c>
      <c r="AD232" s="3">
        <v>0.75</v>
      </c>
      <c r="AE232" s="6">
        <v>6.0000000000000001E-3</v>
      </c>
      <c r="AF232" s="6">
        <v>6.4100000000000004E-2</v>
      </c>
      <c r="AG232" s="7">
        <v>0</v>
      </c>
      <c r="AH232" s="7">
        <v>0</v>
      </c>
      <c r="AI232" s="7">
        <v>35</v>
      </c>
      <c r="AJ232" s="6">
        <v>0.99990000000000001</v>
      </c>
      <c r="AK232" s="7">
        <v>789501600</v>
      </c>
      <c r="AL232" s="5">
        <v>40.975000000000001</v>
      </c>
      <c r="AM232" s="5">
        <v>240.94210000000001</v>
      </c>
      <c r="AN232" s="5">
        <v>1168.6237000000001</v>
      </c>
    </row>
    <row r="233" spans="1:40" ht="16.5" x14ac:dyDescent="0.45">
      <c r="A233" s="1" t="s">
        <v>91</v>
      </c>
      <c r="B233" s="1" t="s">
        <v>92</v>
      </c>
      <c r="C233" s="1" t="s">
        <v>41</v>
      </c>
      <c r="D233" s="1" t="s">
        <v>42</v>
      </c>
      <c r="E233" s="1" t="s">
        <v>43</v>
      </c>
      <c r="F233" s="1" t="s">
        <v>42</v>
      </c>
      <c r="G233" s="1" t="s">
        <v>43</v>
      </c>
      <c r="H233" s="1" t="s">
        <v>44</v>
      </c>
      <c r="I233" s="1" t="s">
        <v>45</v>
      </c>
      <c r="J233" s="1">
        <f t="shared" si="3"/>
        <v>100</v>
      </c>
      <c r="K233" s="3">
        <v>1</v>
      </c>
      <c r="L233" s="4">
        <v>36.340000000000003</v>
      </c>
      <c r="M233" s="5">
        <v>4.3630000000000004</v>
      </c>
      <c r="N233">
        <v>99.62</v>
      </c>
      <c r="O233">
        <v>99.79</v>
      </c>
      <c r="P233" s="6">
        <v>0.99790000000000001</v>
      </c>
      <c r="Q233" s="6">
        <v>0.99819999999999998</v>
      </c>
      <c r="R233">
        <v>0.04</v>
      </c>
      <c r="S233">
        <v>0.11</v>
      </c>
      <c r="T233" s="7">
        <v>0</v>
      </c>
      <c r="U233" s="7">
        <v>0</v>
      </c>
      <c r="V233" s="7">
        <v>0</v>
      </c>
      <c r="W233" s="7">
        <v>0</v>
      </c>
      <c r="X233" s="6">
        <v>0.50270000000000004</v>
      </c>
      <c r="Y233" s="6">
        <v>0.21099999999999999</v>
      </c>
      <c r="Z233" s="4">
        <v>-10.94</v>
      </c>
      <c r="AA233" s="4">
        <v>-96.63</v>
      </c>
      <c r="AB233" s="6">
        <v>0.99970000000000003</v>
      </c>
      <c r="AC233" s="7">
        <v>100</v>
      </c>
      <c r="AD233" s="3">
        <v>1</v>
      </c>
      <c r="AE233" s="6">
        <v>5.1000000000000004E-3</v>
      </c>
      <c r="AF233" s="6">
        <v>5.04E-2</v>
      </c>
      <c r="AG233" s="7">
        <v>0</v>
      </c>
      <c r="AH233" s="7">
        <v>0</v>
      </c>
      <c r="AI233" s="7">
        <v>64</v>
      </c>
      <c r="AJ233" s="3">
        <v>1</v>
      </c>
      <c r="AK233" s="7">
        <v>789501600</v>
      </c>
      <c r="AL233" s="5">
        <v>44.426699999999997</v>
      </c>
      <c r="AM233" s="5">
        <v>213.89160000000001</v>
      </c>
      <c r="AN233" s="5">
        <v>987.37739999999997</v>
      </c>
    </row>
    <row r="234" spans="1:40" ht="16.5" x14ac:dyDescent="0.45">
      <c r="A234" s="1" t="s">
        <v>91</v>
      </c>
      <c r="B234" s="1" t="s">
        <v>92</v>
      </c>
      <c r="C234" s="1" t="s">
        <v>41</v>
      </c>
      <c r="D234" s="1" t="s">
        <v>42</v>
      </c>
      <c r="E234" s="1" t="s">
        <v>43</v>
      </c>
      <c r="F234" s="1" t="s">
        <v>42</v>
      </c>
      <c r="G234" s="1" t="s">
        <v>43</v>
      </c>
      <c r="H234" s="1" t="s">
        <v>46</v>
      </c>
      <c r="I234" s="1" t="s">
        <v>47</v>
      </c>
      <c r="J234" s="1">
        <f t="shared" si="3"/>
        <v>99.75</v>
      </c>
      <c r="K234" s="6">
        <v>0.99750000000000005</v>
      </c>
      <c r="L234" s="4">
        <v>28.36</v>
      </c>
      <c r="M234" s="5">
        <v>2.8584000000000001</v>
      </c>
      <c r="N234">
        <v>99.21</v>
      </c>
      <c r="O234">
        <v>99.62</v>
      </c>
      <c r="P234" s="6">
        <v>0.99619999999999997</v>
      </c>
      <c r="Q234" s="6">
        <v>0.99619999999999997</v>
      </c>
      <c r="R234">
        <v>0.25</v>
      </c>
      <c r="S234">
        <v>0.18</v>
      </c>
      <c r="T234" s="7">
        <v>2</v>
      </c>
      <c r="U234" s="7">
        <v>0</v>
      </c>
      <c r="V234" s="7">
        <v>0</v>
      </c>
      <c r="W234" s="7">
        <v>0</v>
      </c>
      <c r="X234" s="6">
        <v>0.35549999999999998</v>
      </c>
      <c r="Y234" s="6">
        <v>0.14280000000000001</v>
      </c>
      <c r="Z234" s="4">
        <v>-9.26</v>
      </c>
      <c r="AA234" s="4">
        <v>-97.85</v>
      </c>
      <c r="AB234" s="6">
        <v>0.99929999999999997</v>
      </c>
      <c r="AD234" s="3">
        <v>1</v>
      </c>
      <c r="AE234" s="6">
        <v>5.3E-3</v>
      </c>
      <c r="AF234" s="6">
        <v>4.24E-2</v>
      </c>
      <c r="AG234" s="7">
        <v>0</v>
      </c>
      <c r="AH234" s="7">
        <v>0</v>
      </c>
      <c r="AI234" s="7">
        <v>105</v>
      </c>
      <c r="AJ234" s="3">
        <v>1</v>
      </c>
      <c r="AK234" s="7">
        <v>789501654</v>
      </c>
      <c r="AL234" s="5">
        <v>28.745000000000001</v>
      </c>
      <c r="AM234" s="5">
        <v>149.76339999999999</v>
      </c>
      <c r="AN234" s="5">
        <v>640.85159999999996</v>
      </c>
    </row>
    <row r="235" spans="1:40" ht="16.5" x14ac:dyDescent="0.45">
      <c r="A235" s="1" t="s">
        <v>91</v>
      </c>
      <c r="B235" s="1" t="s">
        <v>92</v>
      </c>
      <c r="C235" s="1" t="s">
        <v>41</v>
      </c>
      <c r="D235" s="1" t="s">
        <v>42</v>
      </c>
      <c r="E235" s="1" t="s">
        <v>43</v>
      </c>
      <c r="F235" s="1" t="s">
        <v>42</v>
      </c>
      <c r="G235" s="1" t="s">
        <v>43</v>
      </c>
      <c r="H235" s="1" t="s">
        <v>48</v>
      </c>
      <c r="I235" s="1" t="s">
        <v>49</v>
      </c>
      <c r="J235" s="1">
        <f t="shared" si="3"/>
        <v>100</v>
      </c>
      <c r="K235" s="3">
        <v>1</v>
      </c>
      <c r="L235" s="4">
        <v>25.82</v>
      </c>
      <c r="M235" s="5">
        <v>4.4884000000000004</v>
      </c>
      <c r="N235">
        <v>99.6</v>
      </c>
      <c r="O235">
        <v>99.88</v>
      </c>
      <c r="P235" s="6">
        <v>0.99880000000000002</v>
      </c>
      <c r="Q235" s="6">
        <v>0.99890000000000001</v>
      </c>
      <c r="R235">
        <v>0.13</v>
      </c>
      <c r="S235">
        <v>0.08</v>
      </c>
      <c r="T235" s="7">
        <v>0</v>
      </c>
      <c r="U235" s="7">
        <v>0</v>
      </c>
      <c r="V235" s="7">
        <v>0</v>
      </c>
      <c r="W235" s="7">
        <v>0</v>
      </c>
      <c r="X235" s="6">
        <v>0.59950000000000003</v>
      </c>
      <c r="Y235" s="6">
        <v>0.20069999999999999</v>
      </c>
      <c r="Z235" s="4">
        <v>-9.91</v>
      </c>
      <c r="AA235" s="4">
        <v>-97.77</v>
      </c>
      <c r="AB235" s="6">
        <v>0.99939999999999996</v>
      </c>
      <c r="AC235" s="4">
        <v>90.48</v>
      </c>
      <c r="AD235" s="6">
        <v>0.87880000000000003</v>
      </c>
      <c r="AE235" s="6">
        <v>4.7999999999999996E-3</v>
      </c>
      <c r="AF235" s="6">
        <v>3.8899999999999997E-2</v>
      </c>
      <c r="AG235" s="7">
        <v>0</v>
      </c>
      <c r="AH235" s="7">
        <v>0</v>
      </c>
      <c r="AI235" s="7">
        <v>37</v>
      </c>
      <c r="AJ235" s="6">
        <v>0.99990000000000001</v>
      </c>
      <c r="AK235" s="7">
        <v>789501600</v>
      </c>
      <c r="AL235" s="5">
        <v>39.134999999999998</v>
      </c>
      <c r="AM235" s="5">
        <v>200.01300000000001</v>
      </c>
      <c r="AN235" s="5">
        <v>1048.3594000000001</v>
      </c>
    </row>
    <row r="236" spans="1:40" ht="16.5" x14ac:dyDescent="0.45">
      <c r="A236" s="1" t="s">
        <v>91</v>
      </c>
      <c r="B236" s="1" t="s">
        <v>92</v>
      </c>
      <c r="C236" s="1" t="s">
        <v>41</v>
      </c>
      <c r="D236" s="1" t="s">
        <v>50</v>
      </c>
      <c r="E236" s="1" t="s">
        <v>51</v>
      </c>
      <c r="F236" s="1" t="s">
        <v>50</v>
      </c>
      <c r="G236" s="1" t="s">
        <v>51</v>
      </c>
      <c r="H236" s="1" t="s">
        <v>52</v>
      </c>
      <c r="I236" s="1" t="s">
        <v>53</v>
      </c>
      <c r="J236" s="1">
        <f t="shared" si="3"/>
        <v>100</v>
      </c>
      <c r="K236" s="3">
        <v>1</v>
      </c>
      <c r="L236" s="4">
        <v>69.88</v>
      </c>
      <c r="M236" s="5">
        <v>5.1127000000000002</v>
      </c>
      <c r="N236">
        <v>99.56</v>
      </c>
      <c r="O236">
        <v>99.16</v>
      </c>
      <c r="P236" s="6">
        <v>0.99170000000000003</v>
      </c>
      <c r="Q236" s="6">
        <v>0.99180000000000001</v>
      </c>
      <c r="R236">
        <v>0.06</v>
      </c>
      <c r="S236">
        <v>0.18</v>
      </c>
      <c r="T236" s="7">
        <v>0</v>
      </c>
      <c r="U236" s="7">
        <v>0</v>
      </c>
      <c r="V236" s="7">
        <v>0</v>
      </c>
      <c r="W236" s="7">
        <v>0</v>
      </c>
      <c r="X236" s="6">
        <v>0.71879999999999999</v>
      </c>
      <c r="Y236" s="6">
        <v>0.67910000000000004</v>
      </c>
      <c r="Z236" s="4">
        <v>-12.3</v>
      </c>
      <c r="AA236" s="4">
        <v>-94.17</v>
      </c>
      <c r="AB236" s="6">
        <v>0.99960000000000004</v>
      </c>
      <c r="AC236" s="4">
        <v>83.33</v>
      </c>
      <c r="AD236" s="3">
        <v>1</v>
      </c>
      <c r="AE236" s="6">
        <v>7.3000000000000001E-3</v>
      </c>
      <c r="AF236" s="6">
        <v>7.5200000000000003E-2</v>
      </c>
      <c r="AG236" s="7">
        <v>0</v>
      </c>
      <c r="AH236" s="7">
        <v>0</v>
      </c>
      <c r="AI236" s="7">
        <v>117</v>
      </c>
      <c r="AJ236" s="6">
        <v>0.99990000000000001</v>
      </c>
      <c r="AK236" s="7">
        <v>789501600</v>
      </c>
      <c r="AL236" s="5">
        <v>81.061700000000002</v>
      </c>
      <c r="AM236" s="5">
        <v>344.60180000000003</v>
      </c>
      <c r="AN236" s="5">
        <v>1051.1555000000001</v>
      </c>
    </row>
    <row r="237" spans="1:40" ht="16.5" x14ac:dyDescent="0.45">
      <c r="A237" s="1" t="s">
        <v>91</v>
      </c>
      <c r="B237" s="1" t="s">
        <v>92</v>
      </c>
      <c r="C237" s="1" t="s">
        <v>41</v>
      </c>
      <c r="D237" s="1" t="s">
        <v>50</v>
      </c>
      <c r="E237" s="1" t="s">
        <v>51</v>
      </c>
      <c r="F237" s="1" t="s">
        <v>50</v>
      </c>
      <c r="G237" s="1" t="s">
        <v>51</v>
      </c>
      <c r="H237" s="1" t="s">
        <v>54</v>
      </c>
      <c r="I237" s="1" t="s">
        <v>55</v>
      </c>
      <c r="J237" s="1">
        <f t="shared" si="3"/>
        <v>100</v>
      </c>
      <c r="K237" s="3">
        <v>1</v>
      </c>
      <c r="L237" s="4">
        <v>37.18</v>
      </c>
      <c r="M237" s="5">
        <v>5.0843999999999996</v>
      </c>
      <c r="N237">
        <v>99.550000000000011</v>
      </c>
      <c r="O237">
        <v>99.839999999999989</v>
      </c>
      <c r="P237" s="6">
        <v>0.99839999999999995</v>
      </c>
      <c r="Q237" s="6">
        <v>0.99839999999999995</v>
      </c>
      <c r="R237">
        <v>0.09</v>
      </c>
      <c r="S237">
        <v>6.9999999999999993E-2</v>
      </c>
      <c r="T237" s="7">
        <v>0</v>
      </c>
      <c r="U237" s="7">
        <v>0</v>
      </c>
      <c r="V237" s="7">
        <v>0</v>
      </c>
      <c r="W237" s="7">
        <v>0</v>
      </c>
      <c r="X237" s="6">
        <v>0.72799999999999998</v>
      </c>
      <c r="Y237" s="6">
        <v>0.28070000000000001</v>
      </c>
      <c r="Z237" s="4">
        <v>-11.73</v>
      </c>
      <c r="AA237" s="4">
        <v>-95.59</v>
      </c>
      <c r="AB237" s="6">
        <v>0.99939999999999996</v>
      </c>
      <c r="AD237" s="3">
        <v>1</v>
      </c>
      <c r="AE237" s="6">
        <v>6.4999999999999997E-3</v>
      </c>
      <c r="AF237" s="6">
        <v>4.8800000000000003E-2</v>
      </c>
      <c r="AG237" s="7">
        <v>0</v>
      </c>
      <c r="AH237" s="7">
        <v>0</v>
      </c>
      <c r="AI237" s="7">
        <v>49</v>
      </c>
      <c r="AJ237" s="3">
        <v>1</v>
      </c>
      <c r="AK237" s="7">
        <v>789501600</v>
      </c>
      <c r="AL237" s="5">
        <v>44.924900000000001</v>
      </c>
      <c r="AM237" s="5">
        <v>321.43709999999999</v>
      </c>
      <c r="AN237" s="5">
        <v>1085.3134</v>
      </c>
    </row>
    <row r="238" spans="1:40" ht="16.5" x14ac:dyDescent="0.45">
      <c r="A238" s="1" t="s">
        <v>91</v>
      </c>
      <c r="B238" s="1" t="s">
        <v>92</v>
      </c>
      <c r="C238" s="1" t="s">
        <v>41</v>
      </c>
      <c r="D238" s="1" t="s">
        <v>50</v>
      </c>
      <c r="E238" s="1" t="s">
        <v>51</v>
      </c>
      <c r="F238" s="1" t="s">
        <v>50</v>
      </c>
      <c r="G238" s="1" t="s">
        <v>51</v>
      </c>
      <c r="H238" s="1" t="s">
        <v>56</v>
      </c>
      <c r="I238" s="1" t="s">
        <v>57</v>
      </c>
      <c r="J238" s="1">
        <f t="shared" si="3"/>
        <v>100</v>
      </c>
      <c r="K238" s="3">
        <v>1</v>
      </c>
      <c r="L238" s="4">
        <v>70.61</v>
      </c>
      <c r="M238" s="5">
        <v>5.5256999999999996</v>
      </c>
      <c r="N238">
        <v>99.75</v>
      </c>
      <c r="O238">
        <v>99.79</v>
      </c>
      <c r="P238" s="6">
        <v>0.99790000000000001</v>
      </c>
      <c r="Q238" s="6">
        <v>0.99809999999999999</v>
      </c>
      <c r="R238">
        <v>0.06</v>
      </c>
      <c r="S238">
        <v>0.11</v>
      </c>
      <c r="T238" s="7">
        <v>0</v>
      </c>
      <c r="U238" s="7">
        <v>0</v>
      </c>
      <c r="V238" s="7">
        <v>0</v>
      </c>
      <c r="W238" s="7">
        <v>1</v>
      </c>
      <c r="X238" s="6">
        <v>0.78420000000000001</v>
      </c>
      <c r="Y238" s="6">
        <v>0.47289999999999999</v>
      </c>
      <c r="Z238" s="4">
        <v>-11.52</v>
      </c>
      <c r="AA238" s="4">
        <v>-92.56</v>
      </c>
      <c r="AB238" s="6">
        <v>0.99939999999999996</v>
      </c>
      <c r="AC238" s="7">
        <v>100</v>
      </c>
      <c r="AD238" s="3">
        <v>0.88</v>
      </c>
      <c r="AE238" s="6">
        <v>6.7999999999999996E-3</v>
      </c>
      <c r="AF238" s="6">
        <v>4.48E-2</v>
      </c>
      <c r="AG238" s="7">
        <v>0</v>
      </c>
      <c r="AH238" s="7">
        <v>0</v>
      </c>
      <c r="AI238" s="7">
        <v>64</v>
      </c>
      <c r="AJ238" s="3">
        <v>1</v>
      </c>
      <c r="AK238" s="7">
        <v>789501600</v>
      </c>
      <c r="AL238" s="5">
        <v>56.318300000000001</v>
      </c>
      <c r="AM238" s="5">
        <v>295.80430000000001</v>
      </c>
      <c r="AN238" s="5">
        <v>1195.2914000000001</v>
      </c>
    </row>
    <row r="239" spans="1:40" ht="16.5" x14ac:dyDescent="0.45">
      <c r="A239" s="1" t="s">
        <v>91</v>
      </c>
      <c r="B239" s="1" t="s">
        <v>92</v>
      </c>
      <c r="C239" s="1" t="s">
        <v>41</v>
      </c>
      <c r="D239" s="1" t="s">
        <v>50</v>
      </c>
      <c r="E239" s="1" t="s">
        <v>51</v>
      </c>
      <c r="F239" s="1" t="s">
        <v>50</v>
      </c>
      <c r="G239" s="1" t="s">
        <v>51</v>
      </c>
      <c r="H239" s="1" t="s">
        <v>58</v>
      </c>
      <c r="I239" s="1" t="s">
        <v>59</v>
      </c>
      <c r="J239" s="1">
        <f t="shared" si="3"/>
        <v>93.92</v>
      </c>
      <c r="K239" s="6">
        <v>0.93920000000000003</v>
      </c>
      <c r="L239" s="4">
        <v>35.22</v>
      </c>
      <c r="M239" s="5">
        <v>5.4611000000000001</v>
      </c>
      <c r="N239">
        <v>99.39</v>
      </c>
      <c r="O239">
        <v>99.839999999999989</v>
      </c>
      <c r="P239" s="6">
        <v>0.99839999999999995</v>
      </c>
      <c r="Q239" s="6">
        <v>0.99829999999999997</v>
      </c>
      <c r="R239">
        <v>0.09</v>
      </c>
      <c r="S239">
        <v>0.06</v>
      </c>
      <c r="T239" s="7">
        <v>1</v>
      </c>
      <c r="U239" s="7">
        <v>0</v>
      </c>
      <c r="V239" s="7">
        <v>0</v>
      </c>
      <c r="W239" s="7">
        <v>0</v>
      </c>
      <c r="X239" s="6">
        <v>0.63290000000000002</v>
      </c>
      <c r="Y239" s="6">
        <v>0.3745</v>
      </c>
      <c r="Z239" s="4">
        <v>-10.82</v>
      </c>
      <c r="AA239" s="4">
        <v>-98.93</v>
      </c>
      <c r="AB239" s="6">
        <v>0.99970000000000003</v>
      </c>
      <c r="AD239" s="3">
        <v>0.5</v>
      </c>
      <c r="AE239" s="6">
        <v>5.8999999999999999E-3</v>
      </c>
      <c r="AF239" s="6">
        <v>5.8000000000000003E-2</v>
      </c>
      <c r="AG239" s="7">
        <v>0</v>
      </c>
      <c r="AH239" s="7">
        <v>0</v>
      </c>
      <c r="AI239" s="7">
        <v>50</v>
      </c>
      <c r="AJ239" s="6">
        <v>0.99990000000000001</v>
      </c>
      <c r="AK239" s="7">
        <v>789502914</v>
      </c>
      <c r="AL239" s="5">
        <v>43.883299999999998</v>
      </c>
      <c r="AM239" s="5">
        <v>281.07159999999999</v>
      </c>
      <c r="AN239" s="5">
        <v>1214.3387</v>
      </c>
    </row>
    <row r="240" spans="1:40" ht="16.5" x14ac:dyDescent="0.45">
      <c r="A240" s="1" t="s">
        <v>92</v>
      </c>
      <c r="B240" s="1" t="s">
        <v>93</v>
      </c>
      <c r="C240" s="1" t="s">
        <v>41</v>
      </c>
      <c r="D240" s="1" t="s">
        <v>42</v>
      </c>
      <c r="E240" s="1" t="s">
        <v>43</v>
      </c>
      <c r="F240" s="1" t="s">
        <v>42</v>
      </c>
      <c r="G240" s="1" t="s">
        <v>43</v>
      </c>
      <c r="H240" s="1" t="s">
        <v>44</v>
      </c>
      <c r="I240" s="1" t="s">
        <v>45</v>
      </c>
      <c r="J240" s="1">
        <f t="shared" si="3"/>
        <v>100</v>
      </c>
      <c r="K240" s="3">
        <v>1</v>
      </c>
      <c r="L240" s="4">
        <v>33.299999999999997</v>
      </c>
      <c r="M240" s="5">
        <v>3.9882</v>
      </c>
      <c r="N240">
        <v>99.56</v>
      </c>
      <c r="O240">
        <v>99.86</v>
      </c>
      <c r="P240" s="6">
        <v>0.99860000000000004</v>
      </c>
      <c r="Q240" s="6">
        <v>0.99860000000000004</v>
      </c>
      <c r="R240">
        <v>0.18</v>
      </c>
      <c r="S240">
        <v>6.9999999999999993E-2</v>
      </c>
      <c r="T240" s="7">
        <v>0</v>
      </c>
      <c r="U240" s="7">
        <v>0</v>
      </c>
      <c r="V240" s="7">
        <v>0</v>
      </c>
      <c r="W240" s="7">
        <v>0</v>
      </c>
      <c r="X240" s="6">
        <v>0.48659999999999998</v>
      </c>
      <c r="Y240" s="6">
        <v>0.18509999999999999</v>
      </c>
      <c r="Z240" s="4">
        <v>-10.67</v>
      </c>
      <c r="AA240" s="4">
        <v>-97.11</v>
      </c>
      <c r="AB240" s="6">
        <v>0.99970000000000003</v>
      </c>
      <c r="AC240" s="4">
        <v>71.430000000000007</v>
      </c>
      <c r="AD240" s="3">
        <v>1</v>
      </c>
      <c r="AE240" s="6">
        <v>5.0000000000000001E-3</v>
      </c>
      <c r="AF240" s="6">
        <v>4.7600000000000003E-2</v>
      </c>
      <c r="AG240" s="7">
        <v>0</v>
      </c>
      <c r="AH240" s="7">
        <v>0</v>
      </c>
      <c r="AI240" s="7">
        <v>41</v>
      </c>
      <c r="AJ240" s="6">
        <v>0.99990000000000001</v>
      </c>
      <c r="AK240" s="7">
        <v>789501600</v>
      </c>
      <c r="AL240" s="5">
        <v>41.670099999999998</v>
      </c>
      <c r="AM240" s="5">
        <v>223.16229999999999</v>
      </c>
      <c r="AN240" s="5">
        <v>873.19460000000004</v>
      </c>
    </row>
    <row r="241" spans="1:40" ht="16.5" x14ac:dyDescent="0.45">
      <c r="A241" s="1" t="s">
        <v>92</v>
      </c>
      <c r="B241" s="1" t="s">
        <v>93</v>
      </c>
      <c r="C241" s="1" t="s">
        <v>41</v>
      </c>
      <c r="D241" s="1" t="s">
        <v>42</v>
      </c>
      <c r="E241" s="1" t="s">
        <v>43</v>
      </c>
      <c r="F241" s="1" t="s">
        <v>42</v>
      </c>
      <c r="G241" s="1" t="s">
        <v>43</v>
      </c>
      <c r="H241" s="1" t="s">
        <v>46</v>
      </c>
      <c r="I241" s="1" t="s">
        <v>47</v>
      </c>
      <c r="J241" s="1">
        <f t="shared" si="3"/>
        <v>100</v>
      </c>
      <c r="K241" s="3">
        <v>1</v>
      </c>
      <c r="L241" s="4">
        <v>24.58</v>
      </c>
      <c r="M241" s="5">
        <v>3.2561</v>
      </c>
      <c r="N241">
        <v>99.61</v>
      </c>
      <c r="O241">
        <v>99.78</v>
      </c>
      <c r="P241" s="6">
        <v>0.99780000000000002</v>
      </c>
      <c r="Q241" s="6">
        <v>0.99770000000000003</v>
      </c>
      <c r="R241">
        <v>0.2</v>
      </c>
      <c r="S241">
        <v>0.08</v>
      </c>
      <c r="T241" s="7">
        <v>0</v>
      </c>
      <c r="U241" s="7">
        <v>0</v>
      </c>
      <c r="V241" s="7">
        <v>0</v>
      </c>
      <c r="W241" s="7">
        <v>0</v>
      </c>
      <c r="X241" s="6">
        <v>0.37969999999999998</v>
      </c>
      <c r="Y241" s="6">
        <v>0.14130000000000001</v>
      </c>
      <c r="Z241" s="4">
        <v>-9.3800000000000008</v>
      </c>
      <c r="AA241" s="4">
        <v>-98.11</v>
      </c>
      <c r="AB241" s="6">
        <v>0.99939999999999996</v>
      </c>
      <c r="AD241" s="3">
        <v>0.5</v>
      </c>
      <c r="AE241" s="6">
        <v>4.5999999999999999E-3</v>
      </c>
      <c r="AF241" s="6">
        <v>4.4900000000000002E-2</v>
      </c>
      <c r="AG241" s="7">
        <v>0</v>
      </c>
      <c r="AH241" s="7">
        <v>0</v>
      </c>
      <c r="AI241" s="7">
        <v>48</v>
      </c>
      <c r="AJ241" s="3">
        <v>1</v>
      </c>
      <c r="AK241" s="7">
        <v>789501600</v>
      </c>
      <c r="AL241" s="5">
        <v>29.725100000000001</v>
      </c>
      <c r="AM241" s="5">
        <v>150.48310000000001</v>
      </c>
      <c r="AN241" s="5">
        <v>740.61069999999995</v>
      </c>
    </row>
    <row r="242" spans="1:40" ht="16.5" x14ac:dyDescent="0.45">
      <c r="A242" s="1" t="s">
        <v>92</v>
      </c>
      <c r="B242" s="1" t="s">
        <v>93</v>
      </c>
      <c r="C242" s="1" t="s">
        <v>41</v>
      </c>
      <c r="D242" s="1" t="s">
        <v>42</v>
      </c>
      <c r="E242" s="1" t="s">
        <v>43</v>
      </c>
      <c r="F242" s="1" t="s">
        <v>42</v>
      </c>
      <c r="G242" s="1" t="s">
        <v>43</v>
      </c>
      <c r="H242" s="1" t="s">
        <v>48</v>
      </c>
      <c r="I242" s="1" t="s">
        <v>49</v>
      </c>
      <c r="J242" s="1">
        <f t="shared" si="3"/>
        <v>100</v>
      </c>
      <c r="K242" s="3">
        <v>1</v>
      </c>
      <c r="L242" s="4">
        <v>26.29</v>
      </c>
      <c r="M242" s="5">
        <v>4.7081999999999997</v>
      </c>
      <c r="N242">
        <v>99.68</v>
      </c>
      <c r="O242">
        <v>99.74</v>
      </c>
      <c r="P242" s="6">
        <v>0.99739999999999995</v>
      </c>
      <c r="Q242" s="6">
        <v>0.99739999999999995</v>
      </c>
      <c r="R242">
        <v>0.13</v>
      </c>
      <c r="S242">
        <v>6.9999999999999993E-2</v>
      </c>
      <c r="T242" s="7">
        <v>0</v>
      </c>
      <c r="U242" s="7">
        <v>0</v>
      </c>
      <c r="V242" s="7">
        <v>0</v>
      </c>
      <c r="W242" s="7">
        <v>0</v>
      </c>
      <c r="X242" s="6">
        <v>0.56920000000000004</v>
      </c>
      <c r="Y242" s="6">
        <v>0.17879999999999999</v>
      </c>
      <c r="Z242" s="4">
        <v>-9.84</v>
      </c>
      <c r="AA242" s="4">
        <v>-97.82</v>
      </c>
      <c r="AB242" s="6">
        <v>0.99960000000000004</v>
      </c>
      <c r="AC242" s="7">
        <v>70</v>
      </c>
      <c r="AD242" s="6">
        <v>0.94340000000000002</v>
      </c>
      <c r="AE242" s="6">
        <v>4.3E-3</v>
      </c>
      <c r="AF242" s="6">
        <v>3.3399999999999999E-2</v>
      </c>
      <c r="AG242" s="7">
        <v>0</v>
      </c>
      <c r="AH242" s="7">
        <v>0</v>
      </c>
      <c r="AI242" s="7">
        <v>28</v>
      </c>
      <c r="AJ242" s="6">
        <v>0.99960000000000004</v>
      </c>
      <c r="AK242" s="7">
        <v>789501600</v>
      </c>
      <c r="AL242" s="5">
        <v>38.073399999999999</v>
      </c>
      <c r="AM242" s="5">
        <v>248.226</v>
      </c>
      <c r="AN242" s="5">
        <v>1016.0427</v>
      </c>
    </row>
    <row r="243" spans="1:40" ht="16.5" x14ac:dyDescent="0.45">
      <c r="A243" s="1" t="s">
        <v>92</v>
      </c>
      <c r="B243" s="1" t="s">
        <v>93</v>
      </c>
      <c r="C243" s="1" t="s">
        <v>41</v>
      </c>
      <c r="D243" s="1" t="s">
        <v>50</v>
      </c>
      <c r="E243" s="1" t="s">
        <v>51</v>
      </c>
      <c r="F243" s="1" t="s">
        <v>50</v>
      </c>
      <c r="G243" s="1" t="s">
        <v>51</v>
      </c>
      <c r="H243" s="1" t="s">
        <v>52</v>
      </c>
      <c r="I243" s="1" t="s">
        <v>53</v>
      </c>
      <c r="J243" s="1">
        <f t="shared" si="3"/>
        <v>100</v>
      </c>
      <c r="K243" s="3">
        <v>1</v>
      </c>
      <c r="L243" s="4">
        <v>70.2</v>
      </c>
      <c r="M243" s="5">
        <v>5.8814000000000002</v>
      </c>
      <c r="N243">
        <v>99.64</v>
      </c>
      <c r="O243">
        <v>98.4</v>
      </c>
      <c r="P243" s="6">
        <v>0.98399999999999999</v>
      </c>
      <c r="Q243" s="6">
        <v>0.98440000000000005</v>
      </c>
      <c r="R243">
        <v>0.18</v>
      </c>
      <c r="S243">
        <v>0.54999999999999993</v>
      </c>
      <c r="T243" s="7">
        <v>0</v>
      </c>
      <c r="U243" s="7">
        <v>0</v>
      </c>
      <c r="V243" s="7">
        <v>0</v>
      </c>
      <c r="W243" s="7">
        <v>0</v>
      </c>
      <c r="X243" s="6">
        <v>0.75290000000000001</v>
      </c>
      <c r="Y243" s="6">
        <v>0.88690000000000002</v>
      </c>
      <c r="Z243" s="4">
        <v>-12.61</v>
      </c>
      <c r="AA243" s="4">
        <v>-93.41</v>
      </c>
      <c r="AB243" s="6">
        <v>0.99919999999999998</v>
      </c>
      <c r="AC243" s="7">
        <v>100</v>
      </c>
      <c r="AD243" s="3">
        <v>1</v>
      </c>
      <c r="AE243" s="6">
        <v>6.4000000000000003E-3</v>
      </c>
      <c r="AF243" s="6">
        <v>5.5599999999999997E-2</v>
      </c>
      <c r="AG243" s="7">
        <v>0</v>
      </c>
      <c r="AH243" s="7">
        <v>0</v>
      </c>
      <c r="AI243" s="7">
        <v>148</v>
      </c>
      <c r="AJ243" s="6">
        <v>0.99990000000000001</v>
      </c>
      <c r="AK243" s="7">
        <v>789501600</v>
      </c>
      <c r="AL243" s="5">
        <v>92.138400000000004</v>
      </c>
      <c r="AM243" s="5">
        <v>415.95530000000002</v>
      </c>
      <c r="AN243" s="5">
        <v>1227.1451999999999</v>
      </c>
    </row>
    <row r="244" spans="1:40" ht="16.5" x14ac:dyDescent="0.45">
      <c r="A244" s="1" t="s">
        <v>92</v>
      </c>
      <c r="B244" s="1" t="s">
        <v>93</v>
      </c>
      <c r="C244" s="1" t="s">
        <v>41</v>
      </c>
      <c r="D244" s="1" t="s">
        <v>50</v>
      </c>
      <c r="E244" s="1" t="s">
        <v>51</v>
      </c>
      <c r="F244" s="1" t="s">
        <v>50</v>
      </c>
      <c r="G244" s="1" t="s">
        <v>51</v>
      </c>
      <c r="H244" s="1" t="s">
        <v>54</v>
      </c>
      <c r="I244" s="1" t="s">
        <v>55</v>
      </c>
      <c r="J244" s="1">
        <f t="shared" si="3"/>
        <v>100</v>
      </c>
      <c r="K244" s="3">
        <v>1</v>
      </c>
      <c r="L244" s="4">
        <v>36.17</v>
      </c>
      <c r="M244" s="5">
        <v>4.8745000000000003</v>
      </c>
      <c r="N244">
        <v>99.64</v>
      </c>
      <c r="O244">
        <v>99.87</v>
      </c>
      <c r="P244" s="6">
        <v>0.99870000000000003</v>
      </c>
      <c r="Q244" s="6">
        <v>0.99860000000000004</v>
      </c>
      <c r="R244">
        <v>0.08</v>
      </c>
      <c r="S244">
        <v>0.08</v>
      </c>
      <c r="T244" s="7">
        <v>0</v>
      </c>
      <c r="U244" s="7">
        <v>0</v>
      </c>
      <c r="V244" s="7">
        <v>0</v>
      </c>
      <c r="W244" s="7">
        <v>0</v>
      </c>
      <c r="X244" s="6">
        <v>0.72160000000000002</v>
      </c>
      <c r="Y244" s="6">
        <v>0.26729999999999998</v>
      </c>
      <c r="Z244" s="4">
        <v>-11.74</v>
      </c>
      <c r="AA244" s="4">
        <v>-95.73</v>
      </c>
      <c r="AB244" s="6">
        <v>0.99939999999999996</v>
      </c>
      <c r="AD244" s="3">
        <v>1</v>
      </c>
      <c r="AE244" s="6">
        <v>5.8999999999999999E-3</v>
      </c>
      <c r="AF244" s="6">
        <v>4.3799999999999999E-2</v>
      </c>
      <c r="AG244" s="7">
        <v>0</v>
      </c>
      <c r="AH244" s="7">
        <v>0</v>
      </c>
      <c r="AI244" s="7">
        <v>51</v>
      </c>
      <c r="AJ244" s="3">
        <v>1</v>
      </c>
      <c r="AK244" s="7">
        <v>789501600</v>
      </c>
      <c r="AL244" s="5">
        <v>41.368400000000001</v>
      </c>
      <c r="AM244" s="5">
        <v>247.1302</v>
      </c>
      <c r="AN244" s="5">
        <v>1072.5222000000001</v>
      </c>
    </row>
    <row r="245" spans="1:40" ht="16.5" x14ac:dyDescent="0.45">
      <c r="A245" s="1" t="s">
        <v>92</v>
      </c>
      <c r="B245" s="1" t="s">
        <v>93</v>
      </c>
      <c r="C245" s="1" t="s">
        <v>41</v>
      </c>
      <c r="D245" s="1" t="s">
        <v>50</v>
      </c>
      <c r="E245" s="1" t="s">
        <v>51</v>
      </c>
      <c r="F245" s="1" t="s">
        <v>50</v>
      </c>
      <c r="G245" s="1" t="s">
        <v>51</v>
      </c>
      <c r="H245" s="1" t="s">
        <v>56</v>
      </c>
      <c r="I245" s="1" t="s">
        <v>57</v>
      </c>
      <c r="J245" s="1">
        <f t="shared" si="3"/>
        <v>100</v>
      </c>
      <c r="K245" s="3">
        <v>1</v>
      </c>
      <c r="L245" s="4">
        <v>64.62</v>
      </c>
      <c r="M245" s="5">
        <v>5.8566000000000003</v>
      </c>
      <c r="N245">
        <v>99.82</v>
      </c>
      <c r="O245">
        <v>99.83</v>
      </c>
      <c r="P245" s="6">
        <v>0.99829999999999997</v>
      </c>
      <c r="Q245" s="6">
        <v>0.99839999999999995</v>
      </c>
      <c r="R245">
        <v>0.06</v>
      </c>
      <c r="S245">
        <v>0.09</v>
      </c>
      <c r="T245" s="7">
        <v>0</v>
      </c>
      <c r="U245" s="7">
        <v>0</v>
      </c>
      <c r="V245" s="7">
        <v>0</v>
      </c>
      <c r="W245" s="7">
        <v>0</v>
      </c>
      <c r="X245" s="6">
        <v>0.81120000000000003</v>
      </c>
      <c r="Y245" s="6">
        <v>0.4486</v>
      </c>
      <c r="Z245" s="4">
        <v>-11.69</v>
      </c>
      <c r="AA245" s="4">
        <v>-93.41</v>
      </c>
      <c r="AB245" s="6">
        <v>0.99929999999999997</v>
      </c>
      <c r="AD245" s="6">
        <v>0.89470000000000005</v>
      </c>
      <c r="AE245" s="6">
        <v>6.1000000000000004E-3</v>
      </c>
      <c r="AF245" s="6">
        <v>4.1700000000000001E-2</v>
      </c>
      <c r="AG245" s="7">
        <v>0</v>
      </c>
      <c r="AH245" s="7">
        <v>0</v>
      </c>
      <c r="AI245" s="7">
        <v>63</v>
      </c>
      <c r="AJ245" s="3">
        <v>1</v>
      </c>
      <c r="AK245" s="7">
        <v>789501600</v>
      </c>
      <c r="AL245" s="5">
        <v>56.645099999999999</v>
      </c>
      <c r="AM245" s="5">
        <v>294.82150000000001</v>
      </c>
      <c r="AN245" s="5">
        <v>1295.0150000000001</v>
      </c>
    </row>
    <row r="246" spans="1:40" ht="16.5" x14ac:dyDescent="0.45">
      <c r="A246" s="1" t="s">
        <v>92</v>
      </c>
      <c r="B246" s="1" t="s">
        <v>93</v>
      </c>
      <c r="C246" s="1" t="s">
        <v>41</v>
      </c>
      <c r="D246" s="1" t="s">
        <v>50</v>
      </c>
      <c r="E246" s="1" t="s">
        <v>51</v>
      </c>
      <c r="F246" s="1" t="s">
        <v>50</v>
      </c>
      <c r="G246" s="1" t="s">
        <v>51</v>
      </c>
      <c r="H246" s="1" t="s">
        <v>58</v>
      </c>
      <c r="I246" s="1" t="s">
        <v>59</v>
      </c>
      <c r="J246" s="1">
        <f t="shared" si="3"/>
        <v>22.34</v>
      </c>
      <c r="K246" s="6">
        <v>0.22339999999999999</v>
      </c>
      <c r="L246" s="4">
        <v>11.29</v>
      </c>
      <c r="M246" s="5">
        <v>1.3270999999999999</v>
      </c>
      <c r="N246">
        <v>98.21</v>
      </c>
      <c r="O246">
        <v>98.06</v>
      </c>
      <c r="P246" s="6">
        <v>0.98070000000000002</v>
      </c>
      <c r="Q246" s="6">
        <v>0.98070000000000002</v>
      </c>
      <c r="R246">
        <v>8.67</v>
      </c>
      <c r="S246">
        <v>1.4500000000000002</v>
      </c>
      <c r="T246" s="7">
        <v>2</v>
      </c>
      <c r="U246" s="7">
        <v>0</v>
      </c>
      <c r="V246" s="7">
        <v>0</v>
      </c>
      <c r="W246" s="7">
        <v>0</v>
      </c>
      <c r="X246" s="6">
        <v>0.65739999999999998</v>
      </c>
      <c r="Y246" s="6">
        <v>0.1444</v>
      </c>
      <c r="Z246" s="4">
        <v>-10.73</v>
      </c>
      <c r="AA246" s="4">
        <v>-98.06</v>
      </c>
      <c r="AB246" s="6">
        <v>0.98670000000000002</v>
      </c>
      <c r="AD246" s="3">
        <v>1</v>
      </c>
      <c r="AE246" s="6">
        <v>6.8999999999999999E-3</v>
      </c>
      <c r="AF246" s="6">
        <v>4.6600000000000003E-2</v>
      </c>
      <c r="AG246" s="7">
        <v>0</v>
      </c>
      <c r="AH246" s="7">
        <v>0</v>
      </c>
      <c r="AI246" s="7">
        <v>123</v>
      </c>
      <c r="AJ246" s="6">
        <v>0.99990000000000001</v>
      </c>
      <c r="AK246" s="7">
        <v>789518374</v>
      </c>
      <c r="AL246" s="5">
        <v>8.5234000000000005</v>
      </c>
      <c r="AM246" s="5">
        <v>76.947400000000002</v>
      </c>
      <c r="AN246" s="5">
        <v>287.15309999999999</v>
      </c>
    </row>
    <row r="247" spans="1:40" ht="16.5" x14ac:dyDescent="0.45">
      <c r="A247" s="1" t="s">
        <v>93</v>
      </c>
      <c r="B247" s="1" t="s">
        <v>94</v>
      </c>
      <c r="C247" s="1" t="s">
        <v>41</v>
      </c>
      <c r="D247" s="1" t="s">
        <v>42</v>
      </c>
      <c r="E247" s="1" t="s">
        <v>43</v>
      </c>
      <c r="F247" s="1" t="s">
        <v>42</v>
      </c>
      <c r="G247" s="1" t="s">
        <v>43</v>
      </c>
      <c r="H247" s="1" t="s">
        <v>44</v>
      </c>
      <c r="I247" s="1" t="s">
        <v>45</v>
      </c>
      <c r="J247" s="1">
        <f t="shared" si="3"/>
        <v>100</v>
      </c>
      <c r="K247" s="3">
        <v>1</v>
      </c>
      <c r="L247" s="4">
        <v>32.9</v>
      </c>
      <c r="M247" s="5">
        <v>3.9165999999999999</v>
      </c>
      <c r="N247">
        <v>99.570000000000007</v>
      </c>
      <c r="O247">
        <v>99.839999999999989</v>
      </c>
      <c r="P247" s="6">
        <v>0.99839999999999995</v>
      </c>
      <c r="Q247" s="6">
        <v>0.99839999999999995</v>
      </c>
      <c r="R247">
        <v>0.04</v>
      </c>
      <c r="S247">
        <v>0.09</v>
      </c>
      <c r="T247" s="7">
        <v>0</v>
      </c>
      <c r="U247" s="7">
        <v>0</v>
      </c>
      <c r="V247" s="7">
        <v>0</v>
      </c>
      <c r="W247" s="7">
        <v>0</v>
      </c>
      <c r="X247" s="6">
        <v>0.45450000000000002</v>
      </c>
      <c r="Y247" s="6">
        <v>0.1968</v>
      </c>
      <c r="Z247" s="4">
        <v>-10.47</v>
      </c>
      <c r="AA247" s="4">
        <v>-96.65</v>
      </c>
      <c r="AB247" s="6">
        <v>0.99970000000000003</v>
      </c>
      <c r="AC247" s="7">
        <v>100</v>
      </c>
      <c r="AD247" s="3">
        <v>1</v>
      </c>
      <c r="AE247" s="6">
        <v>4.7000000000000002E-3</v>
      </c>
      <c r="AF247" s="6">
        <v>5.2999999999999999E-2</v>
      </c>
      <c r="AG247" s="7">
        <v>0</v>
      </c>
      <c r="AH247" s="7">
        <v>0</v>
      </c>
      <c r="AI247" s="7">
        <v>57</v>
      </c>
      <c r="AJ247" s="3">
        <v>1</v>
      </c>
      <c r="AK247" s="7">
        <v>789501600</v>
      </c>
      <c r="AL247" s="5">
        <v>43.204999999999998</v>
      </c>
      <c r="AM247" s="5">
        <v>240.6711</v>
      </c>
      <c r="AN247" s="5">
        <v>837.12199999999996</v>
      </c>
    </row>
    <row r="248" spans="1:40" ht="16.5" x14ac:dyDescent="0.45">
      <c r="A248" s="1" t="s">
        <v>93</v>
      </c>
      <c r="B248" s="1" t="s">
        <v>94</v>
      </c>
      <c r="C248" s="1" t="s">
        <v>41</v>
      </c>
      <c r="D248" s="1" t="s">
        <v>42</v>
      </c>
      <c r="E248" s="1" t="s">
        <v>43</v>
      </c>
      <c r="F248" s="1" t="s">
        <v>42</v>
      </c>
      <c r="G248" s="1" t="s">
        <v>43</v>
      </c>
      <c r="H248" s="1" t="s">
        <v>46</v>
      </c>
      <c r="I248" s="1" t="s">
        <v>47</v>
      </c>
      <c r="J248" s="1">
        <f t="shared" si="3"/>
        <v>100</v>
      </c>
      <c r="K248" s="3">
        <v>1</v>
      </c>
      <c r="L248" s="4">
        <v>27.51</v>
      </c>
      <c r="M248" s="5">
        <v>3.5268000000000002</v>
      </c>
      <c r="N248">
        <v>99.83</v>
      </c>
      <c r="O248">
        <v>99.81</v>
      </c>
      <c r="P248" s="6">
        <v>0.99809999999999999</v>
      </c>
      <c r="Q248" s="6">
        <v>0.99809999999999999</v>
      </c>
      <c r="R248">
        <v>0.06</v>
      </c>
      <c r="S248">
        <v>6.9999999999999993E-2</v>
      </c>
      <c r="T248" s="7">
        <v>0</v>
      </c>
      <c r="U248" s="7">
        <v>0</v>
      </c>
      <c r="V248" s="7">
        <v>0</v>
      </c>
      <c r="W248" s="7">
        <v>0</v>
      </c>
      <c r="X248" s="6">
        <v>0.39889999999999998</v>
      </c>
      <c r="Y248" s="6">
        <v>0.15529999999999999</v>
      </c>
      <c r="Z248" s="4">
        <v>-9.56</v>
      </c>
      <c r="AA248" s="7">
        <v>-98</v>
      </c>
      <c r="AB248" s="3">
        <v>1</v>
      </c>
      <c r="AD248" s="3">
        <v>0.8</v>
      </c>
      <c r="AE248" s="6">
        <v>6.6E-3</v>
      </c>
      <c r="AF248" s="6">
        <v>5.9299999999999999E-2</v>
      </c>
      <c r="AG248" s="7">
        <v>0</v>
      </c>
      <c r="AH248" s="7">
        <v>0</v>
      </c>
      <c r="AI248" s="7">
        <v>66</v>
      </c>
      <c r="AJ248" s="3">
        <v>1</v>
      </c>
      <c r="AK248" s="7">
        <v>789501600</v>
      </c>
      <c r="AL248" s="5">
        <v>34.123399999999997</v>
      </c>
      <c r="AM248" s="5">
        <v>198.52610000000001</v>
      </c>
      <c r="AN248" s="5">
        <v>772.99400000000003</v>
      </c>
    </row>
    <row r="249" spans="1:40" ht="16.5" x14ac:dyDescent="0.45">
      <c r="A249" s="1" t="s">
        <v>93</v>
      </c>
      <c r="B249" s="1" t="s">
        <v>94</v>
      </c>
      <c r="C249" s="1" t="s">
        <v>41</v>
      </c>
      <c r="D249" s="1" t="s">
        <v>42</v>
      </c>
      <c r="E249" s="1" t="s">
        <v>43</v>
      </c>
      <c r="F249" s="1" t="s">
        <v>42</v>
      </c>
      <c r="G249" s="1" t="s">
        <v>43</v>
      </c>
      <c r="H249" s="1" t="s">
        <v>48</v>
      </c>
      <c r="I249" s="1" t="s">
        <v>49</v>
      </c>
      <c r="J249" s="1">
        <f t="shared" si="3"/>
        <v>100</v>
      </c>
      <c r="K249" s="3">
        <v>1</v>
      </c>
      <c r="L249" s="4">
        <v>29.8</v>
      </c>
      <c r="M249" s="5">
        <v>4.9062999999999999</v>
      </c>
      <c r="N249">
        <v>99.570000000000007</v>
      </c>
      <c r="O249">
        <v>99.8</v>
      </c>
      <c r="P249" s="6">
        <v>0.998</v>
      </c>
      <c r="Q249" s="6">
        <v>0.99809999999999999</v>
      </c>
      <c r="R249">
        <v>0.06</v>
      </c>
      <c r="S249">
        <v>0.12</v>
      </c>
      <c r="T249" s="7">
        <v>0</v>
      </c>
      <c r="U249" s="7">
        <v>0</v>
      </c>
      <c r="V249" s="7">
        <v>0</v>
      </c>
      <c r="W249" s="7">
        <v>0</v>
      </c>
      <c r="X249" s="6">
        <v>0.59870000000000001</v>
      </c>
      <c r="Y249" s="6">
        <v>0.21179999999999999</v>
      </c>
      <c r="Z249" s="4">
        <v>-10.039999999999999</v>
      </c>
      <c r="AA249" s="4">
        <v>-96.96</v>
      </c>
      <c r="AB249" s="6">
        <v>0.99950000000000006</v>
      </c>
      <c r="AC249" s="7">
        <v>80</v>
      </c>
      <c r="AD249" s="6">
        <v>0.95920000000000005</v>
      </c>
      <c r="AE249" s="6">
        <v>4.5999999999999999E-3</v>
      </c>
      <c r="AF249" s="6">
        <v>3.85E-2</v>
      </c>
      <c r="AG249" s="7">
        <v>0</v>
      </c>
      <c r="AH249" s="7">
        <v>0</v>
      </c>
      <c r="AI249" s="7">
        <v>43</v>
      </c>
      <c r="AJ249" s="6">
        <v>0.99970000000000003</v>
      </c>
      <c r="AK249" s="7">
        <v>789501600</v>
      </c>
      <c r="AL249" s="5">
        <v>44.561700000000002</v>
      </c>
      <c r="AM249" s="5">
        <v>330.14800000000002</v>
      </c>
      <c r="AN249" s="5">
        <v>1034.1851999999999</v>
      </c>
    </row>
    <row r="250" spans="1:40" ht="16.5" x14ac:dyDescent="0.45">
      <c r="A250" s="1" t="s">
        <v>93</v>
      </c>
      <c r="B250" s="1" t="s">
        <v>94</v>
      </c>
      <c r="C250" s="1" t="s">
        <v>41</v>
      </c>
      <c r="D250" s="1" t="s">
        <v>50</v>
      </c>
      <c r="E250" s="1" t="s">
        <v>51</v>
      </c>
      <c r="F250" s="1" t="s">
        <v>50</v>
      </c>
      <c r="G250" s="1" t="s">
        <v>51</v>
      </c>
      <c r="H250" s="1" t="s">
        <v>52</v>
      </c>
      <c r="I250" s="1" t="s">
        <v>53</v>
      </c>
      <c r="J250" s="1">
        <f t="shared" si="3"/>
        <v>100</v>
      </c>
      <c r="K250" s="3">
        <v>1</v>
      </c>
      <c r="L250" s="4">
        <v>71.89</v>
      </c>
      <c r="M250" s="5">
        <v>5.4702000000000002</v>
      </c>
      <c r="N250">
        <v>99.64</v>
      </c>
      <c r="O250">
        <v>98.25</v>
      </c>
      <c r="P250" s="6">
        <v>0.98240000000000005</v>
      </c>
      <c r="Q250" s="6">
        <v>0.98270000000000002</v>
      </c>
      <c r="R250">
        <v>0.19</v>
      </c>
      <c r="S250">
        <v>0.54999999999999993</v>
      </c>
      <c r="T250" s="7">
        <v>0</v>
      </c>
      <c r="U250" s="7">
        <v>0</v>
      </c>
      <c r="V250" s="7">
        <v>0</v>
      </c>
      <c r="W250" s="7">
        <v>0</v>
      </c>
      <c r="X250" s="6">
        <v>0.73939999999999995</v>
      </c>
      <c r="Y250" s="6">
        <v>0.86160000000000003</v>
      </c>
      <c r="Z250" s="4">
        <v>-12.59</v>
      </c>
      <c r="AA250" s="4">
        <v>-93.09</v>
      </c>
      <c r="AB250" s="6">
        <v>0.99939999999999996</v>
      </c>
      <c r="AC250" s="7">
        <v>100</v>
      </c>
      <c r="AD250" s="3">
        <v>1</v>
      </c>
      <c r="AE250" s="6">
        <v>6.4000000000000003E-3</v>
      </c>
      <c r="AF250" s="6">
        <v>5.6800000000000003E-2</v>
      </c>
      <c r="AG250" s="7">
        <v>0</v>
      </c>
      <c r="AH250" s="7">
        <v>0</v>
      </c>
      <c r="AI250" s="7">
        <v>157</v>
      </c>
      <c r="AJ250" s="6">
        <v>0.99990000000000001</v>
      </c>
      <c r="AK250" s="7">
        <v>789501600</v>
      </c>
      <c r="AL250" s="5">
        <v>96.974999999999994</v>
      </c>
      <c r="AM250" s="5">
        <v>402.80200000000002</v>
      </c>
      <c r="AN250" s="5">
        <v>1089.8</v>
      </c>
    </row>
    <row r="251" spans="1:40" ht="16.5" x14ac:dyDescent="0.45">
      <c r="A251" s="1" t="s">
        <v>93</v>
      </c>
      <c r="B251" s="1" t="s">
        <v>94</v>
      </c>
      <c r="C251" s="1" t="s">
        <v>41</v>
      </c>
      <c r="D251" s="1" t="s">
        <v>50</v>
      </c>
      <c r="E251" s="1" t="s">
        <v>51</v>
      </c>
      <c r="F251" s="1" t="s">
        <v>50</v>
      </c>
      <c r="G251" s="1" t="s">
        <v>51</v>
      </c>
      <c r="H251" s="1" t="s">
        <v>54</v>
      </c>
      <c r="I251" s="1" t="s">
        <v>55</v>
      </c>
      <c r="J251" s="1">
        <f t="shared" si="3"/>
        <v>100</v>
      </c>
      <c r="K251" s="3">
        <v>1</v>
      </c>
      <c r="L251" s="4">
        <v>38.43</v>
      </c>
      <c r="M251" s="5">
        <v>4.4713000000000003</v>
      </c>
      <c r="N251">
        <v>99.81</v>
      </c>
      <c r="O251">
        <v>99.82</v>
      </c>
      <c r="P251" s="6">
        <v>0.99819999999999998</v>
      </c>
      <c r="Q251" s="6">
        <v>0.99819999999999998</v>
      </c>
      <c r="R251">
        <v>0.08</v>
      </c>
      <c r="S251">
        <v>0.08</v>
      </c>
      <c r="T251" s="7">
        <v>0</v>
      </c>
      <c r="U251" s="7">
        <v>0</v>
      </c>
      <c r="V251" s="7">
        <v>0</v>
      </c>
      <c r="W251" s="7">
        <v>0</v>
      </c>
      <c r="X251" s="6">
        <v>0.71260000000000001</v>
      </c>
      <c r="Y251" s="6">
        <v>0.29430000000000001</v>
      </c>
      <c r="Z251" s="4">
        <v>-11.7</v>
      </c>
      <c r="AA251" s="4">
        <v>-95.22</v>
      </c>
      <c r="AB251" s="6">
        <v>0.99980000000000002</v>
      </c>
      <c r="AC251" s="7">
        <v>100</v>
      </c>
      <c r="AD251" s="3">
        <v>1</v>
      </c>
      <c r="AE251" s="6">
        <v>6.1999999999999998E-3</v>
      </c>
      <c r="AF251" s="6">
        <v>4.9200000000000001E-2</v>
      </c>
      <c r="AG251" s="7">
        <v>0</v>
      </c>
      <c r="AH251" s="7">
        <v>0</v>
      </c>
      <c r="AI251" s="7">
        <v>52</v>
      </c>
      <c r="AJ251" s="3">
        <v>1</v>
      </c>
      <c r="AK251" s="7">
        <v>789501600</v>
      </c>
      <c r="AL251" s="5">
        <v>41.868400000000001</v>
      </c>
      <c r="AM251" s="5">
        <v>247.1875</v>
      </c>
      <c r="AN251" s="5">
        <v>982.03129999999999</v>
      </c>
    </row>
    <row r="252" spans="1:40" ht="16.5" x14ac:dyDescent="0.45">
      <c r="A252" s="1" t="s">
        <v>93</v>
      </c>
      <c r="B252" s="1" t="s">
        <v>94</v>
      </c>
      <c r="C252" s="1" t="s">
        <v>41</v>
      </c>
      <c r="D252" s="1" t="s">
        <v>50</v>
      </c>
      <c r="E252" s="1" t="s">
        <v>51</v>
      </c>
      <c r="F252" s="1" t="s">
        <v>50</v>
      </c>
      <c r="G252" s="1" t="s">
        <v>51</v>
      </c>
      <c r="H252" s="1" t="s">
        <v>56</v>
      </c>
      <c r="I252" s="1" t="s">
        <v>57</v>
      </c>
      <c r="J252" s="1">
        <f t="shared" si="3"/>
        <v>100</v>
      </c>
      <c r="K252" s="3">
        <v>1</v>
      </c>
      <c r="L252" s="4">
        <v>64.069999999999993</v>
      </c>
      <c r="M252" s="5">
        <v>5.0039999999999996</v>
      </c>
      <c r="N252">
        <v>99.79</v>
      </c>
      <c r="O252">
        <v>99.75</v>
      </c>
      <c r="P252" s="6">
        <v>0.99750000000000005</v>
      </c>
      <c r="Q252" s="6">
        <v>0.99770000000000003</v>
      </c>
      <c r="R252">
        <v>0</v>
      </c>
      <c r="S252">
        <v>0.1</v>
      </c>
      <c r="T252" s="7">
        <v>0</v>
      </c>
      <c r="U252" s="7">
        <v>0</v>
      </c>
      <c r="V252" s="7">
        <v>0</v>
      </c>
      <c r="W252" s="7">
        <v>0</v>
      </c>
      <c r="X252" s="6">
        <v>0.73929999999999996</v>
      </c>
      <c r="Y252" s="6">
        <v>0.45479999999999998</v>
      </c>
      <c r="Z252" s="4">
        <v>-11.26</v>
      </c>
      <c r="AA252" s="4">
        <v>-93.49</v>
      </c>
      <c r="AB252" s="6">
        <v>0.99919999999999998</v>
      </c>
      <c r="AD252" s="6">
        <v>0.76919999999999999</v>
      </c>
      <c r="AE252" s="6">
        <v>6.0000000000000001E-3</v>
      </c>
      <c r="AF252" s="6">
        <v>4.5100000000000001E-2</v>
      </c>
      <c r="AG252" s="7">
        <v>0</v>
      </c>
      <c r="AH252" s="7">
        <v>0</v>
      </c>
      <c r="AI252" s="7">
        <v>83</v>
      </c>
      <c r="AJ252" s="3">
        <v>1</v>
      </c>
      <c r="AK252" s="7">
        <v>789501600</v>
      </c>
      <c r="AL252" s="5">
        <v>50.863300000000002</v>
      </c>
      <c r="AM252" s="5">
        <v>247.68530000000001</v>
      </c>
      <c r="AN252" s="5">
        <v>1105.4072000000001</v>
      </c>
    </row>
    <row r="253" spans="1:40" ht="16.5" x14ac:dyDescent="0.45">
      <c r="A253" s="1" t="s">
        <v>93</v>
      </c>
      <c r="B253" s="1" t="s">
        <v>94</v>
      </c>
      <c r="C253" s="1" t="s">
        <v>41</v>
      </c>
      <c r="D253" s="1" t="s">
        <v>50</v>
      </c>
      <c r="E253" s="1" t="s">
        <v>51</v>
      </c>
      <c r="F253" s="1" t="s">
        <v>50</v>
      </c>
      <c r="G253" s="1" t="s">
        <v>51</v>
      </c>
      <c r="H253" s="1" t="s">
        <v>58</v>
      </c>
      <c r="I253" s="1" t="s">
        <v>59</v>
      </c>
      <c r="J253" s="1">
        <f t="shared" si="3"/>
        <v>17.86</v>
      </c>
      <c r="K253" s="6">
        <v>0.17860000000000001</v>
      </c>
      <c r="L253" s="4">
        <v>11.08</v>
      </c>
      <c r="M253" s="5">
        <v>1.0111000000000001</v>
      </c>
      <c r="N253">
        <v>94.38</v>
      </c>
      <c r="O253">
        <v>97.21</v>
      </c>
      <c r="P253" s="6">
        <v>0.97230000000000005</v>
      </c>
      <c r="Q253" s="6">
        <v>0.97230000000000005</v>
      </c>
      <c r="R253">
        <v>13.36</v>
      </c>
      <c r="S253">
        <v>2.36</v>
      </c>
      <c r="T253" s="7">
        <v>12</v>
      </c>
      <c r="U253" s="7">
        <v>0</v>
      </c>
      <c r="V253" s="7">
        <v>0</v>
      </c>
      <c r="W253" s="7">
        <v>0</v>
      </c>
      <c r="X253" s="6">
        <v>0.67330000000000001</v>
      </c>
      <c r="Y253" s="6">
        <v>0.14849999999999999</v>
      </c>
      <c r="Z253" s="4">
        <v>-10.99</v>
      </c>
      <c r="AA253" s="4">
        <v>-97.04</v>
      </c>
      <c r="AB253" s="6">
        <v>0.97009999999999996</v>
      </c>
      <c r="AD253" s="3">
        <v>1</v>
      </c>
      <c r="AE253" s="6">
        <v>8.2000000000000007E-3</v>
      </c>
      <c r="AF253" s="6">
        <v>4.4999999999999998E-2</v>
      </c>
      <c r="AG253" s="7">
        <v>0</v>
      </c>
      <c r="AH253" s="7">
        <v>0</v>
      </c>
      <c r="AI253" s="7">
        <v>124</v>
      </c>
      <c r="AJ253" s="6">
        <v>0.99970000000000003</v>
      </c>
      <c r="AK253" s="7">
        <v>789519343</v>
      </c>
      <c r="AL253" s="5">
        <v>7.0816999999999997</v>
      </c>
      <c r="AM253" s="5">
        <v>54.5505</v>
      </c>
      <c r="AN253" s="5">
        <v>228.37309999999999</v>
      </c>
    </row>
    <row r="254" spans="1:40" ht="16.5" x14ac:dyDescent="0.45">
      <c r="A254" s="1" t="s">
        <v>94</v>
      </c>
      <c r="B254" s="1" t="s">
        <v>95</v>
      </c>
      <c r="C254" s="1" t="s">
        <v>41</v>
      </c>
      <c r="D254" s="1" t="s">
        <v>42</v>
      </c>
      <c r="E254" s="1" t="s">
        <v>43</v>
      </c>
      <c r="F254" s="1" t="s">
        <v>42</v>
      </c>
      <c r="G254" s="1" t="s">
        <v>43</v>
      </c>
      <c r="H254" s="1" t="s">
        <v>44</v>
      </c>
      <c r="I254" s="1" t="s">
        <v>45</v>
      </c>
      <c r="J254" s="1">
        <f t="shared" si="3"/>
        <v>100</v>
      </c>
      <c r="K254" s="3">
        <v>1</v>
      </c>
      <c r="L254" s="4">
        <v>36.64</v>
      </c>
      <c r="M254" s="5">
        <v>4.5465999999999998</v>
      </c>
      <c r="N254">
        <v>99.72</v>
      </c>
      <c r="O254">
        <v>99.81</v>
      </c>
      <c r="P254" s="6">
        <v>0.99809999999999999</v>
      </c>
      <c r="Q254" s="6">
        <v>0.99809999999999999</v>
      </c>
      <c r="R254">
        <v>0.15</v>
      </c>
      <c r="S254">
        <v>0.1</v>
      </c>
      <c r="T254" s="7">
        <v>0</v>
      </c>
      <c r="U254" s="7">
        <v>0</v>
      </c>
      <c r="V254" s="7">
        <v>0</v>
      </c>
      <c r="W254" s="7">
        <v>0</v>
      </c>
      <c r="X254" s="6">
        <v>0.52959999999999996</v>
      </c>
      <c r="Y254" s="6">
        <v>0.18920000000000001</v>
      </c>
      <c r="Z254" s="7">
        <v>-11</v>
      </c>
      <c r="AA254" s="4">
        <v>-96.15</v>
      </c>
      <c r="AB254" s="6">
        <v>0.99960000000000004</v>
      </c>
      <c r="AC254" s="7">
        <v>100</v>
      </c>
      <c r="AD254" s="3">
        <v>0.5</v>
      </c>
      <c r="AE254" s="6">
        <v>4.1000000000000003E-3</v>
      </c>
      <c r="AF254" s="6">
        <v>4.2999999999999997E-2</v>
      </c>
      <c r="AG254" s="7">
        <v>0</v>
      </c>
      <c r="AH254" s="7">
        <v>0</v>
      </c>
      <c r="AI254" s="7">
        <v>43</v>
      </c>
      <c r="AJ254" s="6">
        <v>0.99990000000000001</v>
      </c>
      <c r="AK254" s="7">
        <v>789501600</v>
      </c>
      <c r="AL254" s="5">
        <v>47.008299999999998</v>
      </c>
      <c r="AM254" s="5">
        <v>293.3211</v>
      </c>
      <c r="AN254" s="5">
        <v>947.90089999999998</v>
      </c>
    </row>
    <row r="255" spans="1:40" ht="16.5" x14ac:dyDescent="0.45">
      <c r="A255" s="1" t="s">
        <v>94</v>
      </c>
      <c r="B255" s="1" t="s">
        <v>95</v>
      </c>
      <c r="C255" s="1" t="s">
        <v>41</v>
      </c>
      <c r="D255" s="1" t="s">
        <v>42</v>
      </c>
      <c r="E255" s="1" t="s">
        <v>43</v>
      </c>
      <c r="F255" s="1" t="s">
        <v>42</v>
      </c>
      <c r="G255" s="1" t="s">
        <v>43</v>
      </c>
      <c r="H255" s="1" t="s">
        <v>46</v>
      </c>
      <c r="I255" s="1" t="s">
        <v>47</v>
      </c>
      <c r="J255" s="1">
        <f t="shared" si="3"/>
        <v>100</v>
      </c>
      <c r="K255" s="3">
        <v>1</v>
      </c>
      <c r="L255" s="4">
        <v>33.42</v>
      </c>
      <c r="M255" s="5">
        <v>3.6524000000000001</v>
      </c>
      <c r="N255">
        <v>99.95</v>
      </c>
      <c r="O255">
        <v>99.77000000000001</v>
      </c>
      <c r="P255" s="6">
        <v>0.99770000000000003</v>
      </c>
      <c r="Q255" s="6">
        <v>0.99770000000000003</v>
      </c>
      <c r="R255">
        <v>0.16</v>
      </c>
      <c r="S255">
        <v>0.11</v>
      </c>
      <c r="T255" s="7">
        <v>0</v>
      </c>
      <c r="U255" s="7">
        <v>0</v>
      </c>
      <c r="V255" s="7">
        <v>0</v>
      </c>
      <c r="W255" s="7">
        <v>0</v>
      </c>
      <c r="X255" s="6">
        <v>0.46329999999999999</v>
      </c>
      <c r="Y255" s="6">
        <v>0.16220000000000001</v>
      </c>
      <c r="Z255" s="4">
        <v>-10.18</v>
      </c>
      <c r="AA255" s="4">
        <v>-96.76</v>
      </c>
      <c r="AB255" s="6">
        <v>0.99950000000000006</v>
      </c>
      <c r="AC255" s="7">
        <v>50</v>
      </c>
      <c r="AD255" s="3">
        <v>1</v>
      </c>
      <c r="AE255" s="6">
        <v>5.3E-3</v>
      </c>
      <c r="AF255" s="6">
        <v>4.8300000000000003E-2</v>
      </c>
      <c r="AG255" s="7">
        <v>0</v>
      </c>
      <c r="AH255" s="7">
        <v>0</v>
      </c>
      <c r="AI255" s="7">
        <v>73</v>
      </c>
      <c r="AJ255" s="3">
        <v>1</v>
      </c>
      <c r="AK255" s="7">
        <v>789501600</v>
      </c>
      <c r="AL255" s="5">
        <v>36.233400000000003</v>
      </c>
      <c r="AM255" s="5">
        <v>173.32810000000001</v>
      </c>
      <c r="AN255" s="5">
        <v>819.79870000000005</v>
      </c>
    </row>
    <row r="256" spans="1:40" ht="16.5" x14ac:dyDescent="0.45">
      <c r="A256" s="1" t="s">
        <v>94</v>
      </c>
      <c r="B256" s="1" t="s">
        <v>95</v>
      </c>
      <c r="C256" s="1" t="s">
        <v>41</v>
      </c>
      <c r="D256" s="1" t="s">
        <v>42</v>
      </c>
      <c r="E256" s="1" t="s">
        <v>43</v>
      </c>
      <c r="F256" s="1" t="s">
        <v>42</v>
      </c>
      <c r="G256" s="1" t="s">
        <v>43</v>
      </c>
      <c r="H256" s="1" t="s">
        <v>48</v>
      </c>
      <c r="I256" s="1" t="s">
        <v>49</v>
      </c>
      <c r="J256" s="1">
        <f t="shared" si="3"/>
        <v>100</v>
      </c>
      <c r="K256" s="3">
        <v>1</v>
      </c>
      <c r="L256" s="4">
        <v>30.26</v>
      </c>
      <c r="M256" s="5">
        <v>4.6439000000000004</v>
      </c>
      <c r="N256">
        <v>99.53</v>
      </c>
      <c r="O256">
        <v>99.79</v>
      </c>
      <c r="P256" s="6">
        <v>0.99790000000000001</v>
      </c>
      <c r="Q256" s="6">
        <v>0.99790000000000001</v>
      </c>
      <c r="R256">
        <v>0.11</v>
      </c>
      <c r="S256">
        <v>0.06</v>
      </c>
      <c r="T256" s="7">
        <v>0</v>
      </c>
      <c r="U256" s="7">
        <v>0</v>
      </c>
      <c r="V256" s="7">
        <v>0</v>
      </c>
      <c r="W256" s="7">
        <v>0</v>
      </c>
      <c r="X256" s="6">
        <v>0.59909999999999997</v>
      </c>
      <c r="Y256" s="6">
        <v>0.21990000000000001</v>
      </c>
      <c r="Z256" s="4">
        <v>-9.9600000000000009</v>
      </c>
      <c r="AA256" s="4">
        <v>-97.02</v>
      </c>
      <c r="AB256" s="6">
        <v>0.99970000000000003</v>
      </c>
      <c r="AC256" s="4">
        <v>74.069999999999993</v>
      </c>
      <c r="AD256" s="6">
        <v>0.93020000000000003</v>
      </c>
      <c r="AE256" s="6">
        <v>5.0000000000000001E-3</v>
      </c>
      <c r="AF256" s="6">
        <v>4.48E-2</v>
      </c>
      <c r="AG256" s="7">
        <v>0</v>
      </c>
      <c r="AH256" s="7">
        <v>0</v>
      </c>
      <c r="AI256" s="7">
        <v>37</v>
      </c>
      <c r="AJ256" s="6">
        <v>0.99970000000000003</v>
      </c>
      <c r="AK256" s="7">
        <v>789501600</v>
      </c>
      <c r="AL256" s="5">
        <v>42.045000000000002</v>
      </c>
      <c r="AM256" s="5">
        <v>207.02690000000001</v>
      </c>
      <c r="AN256" s="5">
        <v>1078.3561</v>
      </c>
    </row>
    <row r="257" spans="1:40" ht="16.5" x14ac:dyDescent="0.45">
      <c r="A257" s="1" t="s">
        <v>94</v>
      </c>
      <c r="B257" s="1" t="s">
        <v>95</v>
      </c>
      <c r="C257" s="1" t="s">
        <v>41</v>
      </c>
      <c r="D257" s="1" t="s">
        <v>50</v>
      </c>
      <c r="E257" s="1" t="s">
        <v>51</v>
      </c>
      <c r="F257" s="1" t="s">
        <v>50</v>
      </c>
      <c r="G257" s="1" t="s">
        <v>51</v>
      </c>
      <c r="H257" s="1" t="s">
        <v>52</v>
      </c>
      <c r="I257" s="1" t="s">
        <v>53</v>
      </c>
      <c r="J257" s="1">
        <f t="shared" si="3"/>
        <v>100</v>
      </c>
      <c r="K257" s="3">
        <v>1</v>
      </c>
      <c r="L257" s="4">
        <v>80.63</v>
      </c>
      <c r="M257" s="5">
        <v>5.444</v>
      </c>
      <c r="N257">
        <v>99.539999999999992</v>
      </c>
      <c r="O257">
        <v>97.21</v>
      </c>
      <c r="P257" s="6">
        <v>0.97199999999999998</v>
      </c>
      <c r="Q257" s="6">
        <v>0.97319999999999995</v>
      </c>
      <c r="R257">
        <v>0.08</v>
      </c>
      <c r="S257">
        <v>0.96</v>
      </c>
      <c r="T257" s="7">
        <v>1</v>
      </c>
      <c r="U257" s="7">
        <v>0</v>
      </c>
      <c r="V257" s="7">
        <v>0</v>
      </c>
      <c r="W257" s="7">
        <v>0</v>
      </c>
      <c r="X257" s="6">
        <v>0.75170000000000003</v>
      </c>
      <c r="Y257" s="3">
        <v>1</v>
      </c>
      <c r="Z257" s="4">
        <v>-12.64</v>
      </c>
      <c r="AA257" s="4">
        <v>-92.37</v>
      </c>
      <c r="AB257" s="6">
        <v>0.99939999999999996</v>
      </c>
      <c r="AC257" s="7">
        <v>40</v>
      </c>
      <c r="AD257" s="3">
        <v>1</v>
      </c>
      <c r="AE257" s="6">
        <v>6.6E-3</v>
      </c>
      <c r="AF257" s="6">
        <v>4.9299999999999997E-2</v>
      </c>
      <c r="AG257" s="7">
        <v>0</v>
      </c>
      <c r="AH257" s="7">
        <v>0</v>
      </c>
      <c r="AI257" s="7">
        <v>183</v>
      </c>
      <c r="AJ257" s="3">
        <v>1</v>
      </c>
      <c r="AK257" s="7">
        <v>789501600</v>
      </c>
      <c r="AL257" s="5">
        <v>89.841700000000003</v>
      </c>
      <c r="AM257" s="5">
        <v>396.58049999999997</v>
      </c>
      <c r="AN257" s="5">
        <v>1104.9838999999999</v>
      </c>
    </row>
    <row r="258" spans="1:40" ht="16.5" x14ac:dyDescent="0.45">
      <c r="A258" s="1" t="s">
        <v>94</v>
      </c>
      <c r="B258" s="1" t="s">
        <v>95</v>
      </c>
      <c r="C258" s="1" t="s">
        <v>41</v>
      </c>
      <c r="D258" s="1" t="s">
        <v>50</v>
      </c>
      <c r="E258" s="1" t="s">
        <v>51</v>
      </c>
      <c r="F258" s="1" t="s">
        <v>50</v>
      </c>
      <c r="G258" s="1" t="s">
        <v>51</v>
      </c>
      <c r="H258" s="1" t="s">
        <v>54</v>
      </c>
      <c r="I258" s="1" t="s">
        <v>55</v>
      </c>
      <c r="J258" s="1">
        <f t="shared" si="3"/>
        <v>100</v>
      </c>
      <c r="K258" s="3">
        <v>1</v>
      </c>
      <c r="L258" s="4">
        <v>39.15</v>
      </c>
      <c r="M258" s="5">
        <v>4.4263000000000003</v>
      </c>
      <c r="N258">
        <v>99.51</v>
      </c>
      <c r="O258">
        <v>99.81</v>
      </c>
      <c r="P258" s="6">
        <v>0.99809999999999999</v>
      </c>
      <c r="Q258" s="6">
        <v>0.99809999999999999</v>
      </c>
      <c r="R258">
        <v>0.16999999999999998</v>
      </c>
      <c r="S258">
        <v>0.1</v>
      </c>
      <c r="T258" s="7">
        <v>0</v>
      </c>
      <c r="U258" s="7">
        <v>0</v>
      </c>
      <c r="V258" s="7">
        <v>0</v>
      </c>
      <c r="W258" s="7">
        <v>0</v>
      </c>
      <c r="X258" s="6">
        <v>0.71109999999999995</v>
      </c>
      <c r="Y258" s="6">
        <v>0.29060000000000002</v>
      </c>
      <c r="Z258" s="4">
        <v>-11.76</v>
      </c>
      <c r="AA258" s="4">
        <v>-94.71</v>
      </c>
      <c r="AB258" s="6">
        <v>0.99970000000000003</v>
      </c>
      <c r="AD258" s="3">
        <v>1</v>
      </c>
      <c r="AE258" s="6">
        <v>5.1999999999999998E-3</v>
      </c>
      <c r="AF258" s="6">
        <v>4.1000000000000002E-2</v>
      </c>
      <c r="AG258" s="7">
        <v>0</v>
      </c>
      <c r="AH258" s="7">
        <v>0</v>
      </c>
      <c r="AI258" s="7">
        <v>39</v>
      </c>
      <c r="AJ258" s="3">
        <v>1</v>
      </c>
      <c r="AK258" s="7">
        <v>789501600</v>
      </c>
      <c r="AL258" s="5">
        <v>42.905000000000001</v>
      </c>
      <c r="AM258" s="5">
        <v>267.97910000000002</v>
      </c>
      <c r="AN258" s="5">
        <v>954.45280000000002</v>
      </c>
    </row>
    <row r="259" spans="1:40" ht="16.5" x14ac:dyDescent="0.45">
      <c r="A259" s="1" t="s">
        <v>94</v>
      </c>
      <c r="B259" s="1" t="s">
        <v>95</v>
      </c>
      <c r="C259" s="1" t="s">
        <v>41</v>
      </c>
      <c r="D259" s="1" t="s">
        <v>50</v>
      </c>
      <c r="E259" s="1" t="s">
        <v>51</v>
      </c>
      <c r="F259" s="1" t="s">
        <v>50</v>
      </c>
      <c r="G259" s="1" t="s">
        <v>51</v>
      </c>
      <c r="H259" s="1" t="s">
        <v>56</v>
      </c>
      <c r="I259" s="1" t="s">
        <v>57</v>
      </c>
      <c r="J259" s="1">
        <f t="shared" ref="J259:J322" si="4">K259*100</f>
        <v>100</v>
      </c>
      <c r="K259" s="3">
        <v>1</v>
      </c>
      <c r="L259" s="4">
        <v>68.8</v>
      </c>
      <c r="M259" s="5">
        <v>4.7956000000000003</v>
      </c>
      <c r="N259">
        <v>99.429999999999993</v>
      </c>
      <c r="O259">
        <v>99.64</v>
      </c>
      <c r="P259" s="6">
        <v>0.99650000000000005</v>
      </c>
      <c r="Q259" s="6">
        <v>0.99660000000000004</v>
      </c>
      <c r="R259">
        <v>0.04</v>
      </c>
      <c r="S259">
        <v>0.2</v>
      </c>
      <c r="T259" s="7">
        <v>0</v>
      </c>
      <c r="U259" s="7">
        <v>0</v>
      </c>
      <c r="V259" s="7">
        <v>0</v>
      </c>
      <c r="W259" s="7">
        <v>0</v>
      </c>
      <c r="X259" s="6">
        <v>0.80579999999999996</v>
      </c>
      <c r="Y259" s="6">
        <v>0.4582</v>
      </c>
      <c r="Z259" s="4">
        <v>-11.8</v>
      </c>
      <c r="AA259" s="4">
        <v>-91.85</v>
      </c>
      <c r="AB259" s="6">
        <v>0.99909999999999999</v>
      </c>
      <c r="AD259" s="6">
        <v>0.875</v>
      </c>
      <c r="AE259" s="6">
        <v>6.7999999999999996E-3</v>
      </c>
      <c r="AF259" s="6">
        <v>3.39E-2</v>
      </c>
      <c r="AG259" s="7">
        <v>0</v>
      </c>
      <c r="AH259" s="7">
        <v>0</v>
      </c>
      <c r="AI259" s="7">
        <v>79</v>
      </c>
      <c r="AJ259" s="3">
        <v>1</v>
      </c>
      <c r="AK259" s="7">
        <v>789501600</v>
      </c>
      <c r="AL259" s="5">
        <v>58.0167</v>
      </c>
      <c r="AM259" s="5">
        <v>287.69369999999998</v>
      </c>
      <c r="AN259" s="5">
        <v>1001.6423</v>
      </c>
    </row>
    <row r="260" spans="1:40" ht="16.5" x14ac:dyDescent="0.45">
      <c r="A260" s="1" t="s">
        <v>94</v>
      </c>
      <c r="B260" s="1" t="s">
        <v>95</v>
      </c>
      <c r="C260" s="1" t="s">
        <v>41</v>
      </c>
      <c r="D260" s="1" t="s">
        <v>50</v>
      </c>
      <c r="E260" s="1" t="s">
        <v>51</v>
      </c>
      <c r="F260" s="1" t="s">
        <v>50</v>
      </c>
      <c r="G260" s="1" t="s">
        <v>51</v>
      </c>
      <c r="H260" s="1" t="s">
        <v>58</v>
      </c>
      <c r="I260" s="1" t="s">
        <v>59</v>
      </c>
      <c r="J260" s="1">
        <f t="shared" si="4"/>
        <v>22.86</v>
      </c>
      <c r="K260" s="6">
        <v>0.2286</v>
      </c>
      <c r="L260" s="4">
        <v>13.68</v>
      </c>
      <c r="M260" s="5">
        <v>1.3068</v>
      </c>
      <c r="N260">
        <v>97.399999999999991</v>
      </c>
      <c r="O260">
        <v>98.37</v>
      </c>
      <c r="P260" s="6">
        <v>0.98370000000000002</v>
      </c>
      <c r="Q260" s="6">
        <v>0.98440000000000005</v>
      </c>
      <c r="R260">
        <v>7.82</v>
      </c>
      <c r="S260">
        <v>1.35</v>
      </c>
      <c r="T260" s="7">
        <v>5</v>
      </c>
      <c r="U260" s="7">
        <v>0</v>
      </c>
      <c r="V260" s="7">
        <v>0</v>
      </c>
      <c r="W260" s="7">
        <v>0</v>
      </c>
      <c r="X260" s="6">
        <v>0.6522</v>
      </c>
      <c r="Y260" s="6">
        <v>0.16969999999999999</v>
      </c>
      <c r="Z260" s="4">
        <v>-10.9</v>
      </c>
      <c r="AA260" s="4">
        <v>-97.19</v>
      </c>
      <c r="AB260" s="6">
        <v>0.9829</v>
      </c>
      <c r="AD260" s="3">
        <v>1</v>
      </c>
      <c r="AE260" s="6">
        <v>6.8999999999999999E-3</v>
      </c>
      <c r="AF260" s="6">
        <v>4.8000000000000001E-2</v>
      </c>
      <c r="AG260" s="7">
        <v>0</v>
      </c>
      <c r="AH260" s="7">
        <v>0</v>
      </c>
      <c r="AI260" s="7">
        <v>132</v>
      </c>
      <c r="AJ260" s="6">
        <v>0.99990000000000001</v>
      </c>
      <c r="AK260" s="7">
        <v>789518262</v>
      </c>
      <c r="AL260" s="5">
        <v>9.6783999999999999</v>
      </c>
      <c r="AM260" s="5">
        <v>78.327500000000001</v>
      </c>
      <c r="AN260" s="5">
        <v>278.90789999999998</v>
      </c>
    </row>
    <row r="261" spans="1:40" ht="16.5" x14ac:dyDescent="0.45">
      <c r="A261" s="1" t="s">
        <v>95</v>
      </c>
      <c r="B261" s="1" t="s">
        <v>96</v>
      </c>
      <c r="C261" s="1" t="s">
        <v>41</v>
      </c>
      <c r="D261" s="1" t="s">
        <v>42</v>
      </c>
      <c r="E261" s="1" t="s">
        <v>43</v>
      </c>
      <c r="F261" s="1" t="s">
        <v>42</v>
      </c>
      <c r="G261" s="1" t="s">
        <v>43</v>
      </c>
      <c r="H261" s="1" t="s">
        <v>44</v>
      </c>
      <c r="I261" s="1" t="s">
        <v>45</v>
      </c>
      <c r="J261" s="1">
        <f t="shared" si="4"/>
        <v>100</v>
      </c>
      <c r="K261" s="3">
        <v>1</v>
      </c>
      <c r="L261" s="4">
        <v>36.46</v>
      </c>
      <c r="M261" s="5">
        <v>4.8262</v>
      </c>
      <c r="N261">
        <v>99.58</v>
      </c>
      <c r="O261">
        <v>99.87</v>
      </c>
      <c r="P261" s="6">
        <v>0.99870000000000003</v>
      </c>
      <c r="Q261" s="6">
        <v>0.99870000000000003</v>
      </c>
      <c r="R261">
        <v>0</v>
      </c>
      <c r="S261">
        <v>0.06</v>
      </c>
      <c r="T261" s="7">
        <v>0</v>
      </c>
      <c r="U261" s="7">
        <v>0</v>
      </c>
      <c r="V261" s="7">
        <v>0</v>
      </c>
      <c r="W261" s="7">
        <v>0</v>
      </c>
      <c r="X261" s="6">
        <v>0.55659999999999998</v>
      </c>
      <c r="Y261" s="6">
        <v>0.19500000000000001</v>
      </c>
      <c r="Z261" s="4">
        <v>-11.21</v>
      </c>
      <c r="AA261" s="4">
        <v>-96.43</v>
      </c>
      <c r="AB261" s="6">
        <v>0.99980000000000002</v>
      </c>
      <c r="AC261" s="7">
        <v>100</v>
      </c>
      <c r="AD261" s="3">
        <v>1</v>
      </c>
      <c r="AE261" s="6">
        <v>4.4999999999999997E-3</v>
      </c>
      <c r="AF261" s="6">
        <v>3.9E-2</v>
      </c>
      <c r="AG261" s="7">
        <v>0</v>
      </c>
      <c r="AH261" s="7">
        <v>0</v>
      </c>
      <c r="AI261" s="7">
        <v>37</v>
      </c>
      <c r="AJ261" s="6">
        <v>0.99990000000000001</v>
      </c>
      <c r="AK261" s="7">
        <v>789501600</v>
      </c>
      <c r="AL261" s="5">
        <v>45.748399999999997</v>
      </c>
      <c r="AM261" s="5">
        <v>264.64879999999999</v>
      </c>
      <c r="AN261" s="5">
        <v>1065.7847999999999</v>
      </c>
    </row>
    <row r="262" spans="1:40" ht="16.5" x14ac:dyDescent="0.45">
      <c r="A262" s="1" t="s">
        <v>95</v>
      </c>
      <c r="B262" s="1" t="s">
        <v>96</v>
      </c>
      <c r="C262" s="1" t="s">
        <v>41</v>
      </c>
      <c r="D262" s="1" t="s">
        <v>42</v>
      </c>
      <c r="E262" s="1" t="s">
        <v>43</v>
      </c>
      <c r="F262" s="1" t="s">
        <v>42</v>
      </c>
      <c r="G262" s="1" t="s">
        <v>43</v>
      </c>
      <c r="H262" s="1" t="s">
        <v>46</v>
      </c>
      <c r="I262" s="1" t="s">
        <v>47</v>
      </c>
      <c r="J262" s="1">
        <f t="shared" si="4"/>
        <v>100</v>
      </c>
      <c r="K262" s="3">
        <v>1</v>
      </c>
      <c r="L262" s="4">
        <v>28.39</v>
      </c>
      <c r="M262" s="5">
        <v>5.0099</v>
      </c>
      <c r="N262">
        <v>99.67</v>
      </c>
      <c r="O262">
        <v>99.75</v>
      </c>
      <c r="P262" s="6">
        <v>0.99750000000000005</v>
      </c>
      <c r="Q262" s="6">
        <v>0.99750000000000005</v>
      </c>
      <c r="R262">
        <v>0</v>
      </c>
      <c r="S262">
        <v>0.11</v>
      </c>
      <c r="T262" s="7">
        <v>0</v>
      </c>
      <c r="U262" s="7">
        <v>0</v>
      </c>
      <c r="V262" s="7">
        <v>0</v>
      </c>
      <c r="W262" s="7">
        <v>0</v>
      </c>
      <c r="X262" s="6">
        <v>0.49930000000000002</v>
      </c>
      <c r="Y262" s="6">
        <v>0.16789999999999999</v>
      </c>
      <c r="Z262" s="4">
        <v>-10.58</v>
      </c>
      <c r="AA262" s="4">
        <v>-97.25</v>
      </c>
      <c r="AB262" s="6">
        <v>0.99980000000000002</v>
      </c>
      <c r="AD262" s="3">
        <v>1</v>
      </c>
      <c r="AE262" s="6">
        <v>4.3E-3</v>
      </c>
      <c r="AF262" s="6">
        <v>4.2599999999999999E-2</v>
      </c>
      <c r="AG262" s="7">
        <v>0</v>
      </c>
      <c r="AH262" s="7">
        <v>0</v>
      </c>
      <c r="AI262" s="7">
        <v>67</v>
      </c>
      <c r="AJ262" s="6">
        <v>0.99990000000000001</v>
      </c>
      <c r="AK262" s="7">
        <v>789501600</v>
      </c>
      <c r="AL262" s="5">
        <v>39.031700000000001</v>
      </c>
      <c r="AM262" s="5">
        <v>280.76519999999999</v>
      </c>
      <c r="AN262" s="5">
        <v>1120.6122</v>
      </c>
    </row>
    <row r="263" spans="1:40" ht="16.5" x14ac:dyDescent="0.45">
      <c r="A263" s="1" t="s">
        <v>95</v>
      </c>
      <c r="B263" s="1" t="s">
        <v>96</v>
      </c>
      <c r="C263" s="1" t="s">
        <v>41</v>
      </c>
      <c r="D263" s="1" t="s">
        <v>42</v>
      </c>
      <c r="E263" s="1" t="s">
        <v>43</v>
      </c>
      <c r="F263" s="1" t="s">
        <v>42</v>
      </c>
      <c r="G263" s="1" t="s">
        <v>43</v>
      </c>
      <c r="H263" s="1" t="s">
        <v>48</v>
      </c>
      <c r="I263" s="1" t="s">
        <v>49</v>
      </c>
      <c r="J263" s="1">
        <f t="shared" si="4"/>
        <v>100</v>
      </c>
      <c r="K263" s="3">
        <v>1</v>
      </c>
      <c r="L263" s="4">
        <v>29.25</v>
      </c>
      <c r="M263" s="5">
        <v>4.6180000000000003</v>
      </c>
      <c r="N263">
        <v>99.67</v>
      </c>
      <c r="O263">
        <v>99.850000000000009</v>
      </c>
      <c r="P263" s="6">
        <v>0.99850000000000005</v>
      </c>
      <c r="Q263" s="6">
        <v>0.99850000000000005</v>
      </c>
      <c r="R263">
        <v>0.06</v>
      </c>
      <c r="S263">
        <v>0.11</v>
      </c>
      <c r="T263" s="7">
        <v>0</v>
      </c>
      <c r="U263" s="7">
        <v>0</v>
      </c>
      <c r="V263" s="7">
        <v>0</v>
      </c>
      <c r="W263" s="7">
        <v>0</v>
      </c>
      <c r="X263" s="6">
        <v>0.61029999999999995</v>
      </c>
      <c r="Y263" s="6">
        <v>0.2114</v>
      </c>
      <c r="Z263" s="4">
        <v>-10.07</v>
      </c>
      <c r="AA263" s="4">
        <v>-97.17</v>
      </c>
      <c r="AB263" s="6">
        <v>0.99950000000000006</v>
      </c>
      <c r="AC263" s="4">
        <v>94.12</v>
      </c>
      <c r="AD263" s="6">
        <v>0.94869999999999999</v>
      </c>
      <c r="AE263" s="6">
        <v>4.3E-3</v>
      </c>
      <c r="AF263" s="6">
        <v>3.5900000000000001E-2</v>
      </c>
      <c r="AG263" s="7">
        <v>0</v>
      </c>
      <c r="AH263" s="7">
        <v>0</v>
      </c>
      <c r="AI263" s="7">
        <v>36</v>
      </c>
      <c r="AJ263" s="6">
        <v>0.99970000000000003</v>
      </c>
      <c r="AK263" s="7">
        <v>789501600</v>
      </c>
      <c r="AL263" s="5">
        <v>42.7134</v>
      </c>
      <c r="AM263" s="5">
        <v>208.97800000000001</v>
      </c>
      <c r="AN263" s="5">
        <v>1075.1724999999999</v>
      </c>
    </row>
    <row r="264" spans="1:40" ht="16.5" x14ac:dyDescent="0.45">
      <c r="A264" s="1" t="s">
        <v>95</v>
      </c>
      <c r="B264" s="1" t="s">
        <v>96</v>
      </c>
      <c r="C264" s="1" t="s">
        <v>41</v>
      </c>
      <c r="D264" s="1" t="s">
        <v>50</v>
      </c>
      <c r="E264" s="1" t="s">
        <v>51</v>
      </c>
      <c r="F264" s="1" t="s">
        <v>50</v>
      </c>
      <c r="G264" s="1" t="s">
        <v>51</v>
      </c>
      <c r="H264" s="1" t="s">
        <v>52</v>
      </c>
      <c r="I264" s="1" t="s">
        <v>53</v>
      </c>
      <c r="J264" s="1">
        <f t="shared" si="4"/>
        <v>100</v>
      </c>
      <c r="K264" s="3">
        <v>1</v>
      </c>
      <c r="L264" s="4">
        <v>76.87</v>
      </c>
      <c r="M264" s="5">
        <v>5.9569999999999999</v>
      </c>
      <c r="N264">
        <v>99.660000000000011</v>
      </c>
      <c r="O264">
        <v>98.72999999999999</v>
      </c>
      <c r="P264" s="6">
        <v>0.98729999999999996</v>
      </c>
      <c r="Q264" s="6">
        <v>0.98750000000000004</v>
      </c>
      <c r="R264">
        <v>0.08</v>
      </c>
      <c r="S264">
        <v>0.43</v>
      </c>
      <c r="T264" s="7">
        <v>0</v>
      </c>
      <c r="U264" s="7">
        <v>0</v>
      </c>
      <c r="V264" s="7">
        <v>0</v>
      </c>
      <c r="W264" s="7">
        <v>0</v>
      </c>
      <c r="X264" s="6">
        <v>0.7409</v>
      </c>
      <c r="Y264" s="6">
        <v>0.90359999999999996</v>
      </c>
      <c r="Z264" s="4">
        <v>-12.47</v>
      </c>
      <c r="AA264" s="4">
        <v>-90.46</v>
      </c>
      <c r="AB264" s="6">
        <v>0.99939999999999996</v>
      </c>
      <c r="AC264" s="7">
        <v>80</v>
      </c>
      <c r="AD264" s="3">
        <v>1</v>
      </c>
      <c r="AE264" s="6">
        <v>6.7000000000000002E-3</v>
      </c>
      <c r="AF264" s="6">
        <v>5.1400000000000001E-2</v>
      </c>
      <c r="AG264" s="7">
        <v>0</v>
      </c>
      <c r="AH264" s="7">
        <v>0</v>
      </c>
      <c r="AI264" s="7">
        <v>177</v>
      </c>
      <c r="AJ264" s="6">
        <v>0.99990000000000001</v>
      </c>
      <c r="AK264" s="7">
        <v>789501600</v>
      </c>
      <c r="AL264" s="5">
        <v>108.5133</v>
      </c>
      <c r="AM264" s="5">
        <v>442.02629999999999</v>
      </c>
      <c r="AN264" s="5">
        <v>1214.4368999999999</v>
      </c>
    </row>
    <row r="265" spans="1:40" ht="16.5" x14ac:dyDescent="0.45">
      <c r="A265" s="1" t="s">
        <v>95</v>
      </c>
      <c r="B265" s="1" t="s">
        <v>96</v>
      </c>
      <c r="C265" s="1" t="s">
        <v>41</v>
      </c>
      <c r="D265" s="1" t="s">
        <v>50</v>
      </c>
      <c r="E265" s="1" t="s">
        <v>51</v>
      </c>
      <c r="F265" s="1" t="s">
        <v>50</v>
      </c>
      <c r="G265" s="1" t="s">
        <v>51</v>
      </c>
      <c r="H265" s="1" t="s">
        <v>54</v>
      </c>
      <c r="I265" s="1" t="s">
        <v>55</v>
      </c>
      <c r="J265" s="1">
        <f t="shared" si="4"/>
        <v>100</v>
      </c>
      <c r="K265" s="3">
        <v>1</v>
      </c>
      <c r="L265" s="4">
        <v>34.049999999999997</v>
      </c>
      <c r="M265" s="5">
        <v>4.8003</v>
      </c>
      <c r="N265">
        <v>99.72999999999999</v>
      </c>
      <c r="O265">
        <v>99.839999999999989</v>
      </c>
      <c r="P265" s="6">
        <v>0.99839999999999995</v>
      </c>
      <c r="Q265" s="6">
        <v>0.99850000000000005</v>
      </c>
      <c r="R265">
        <v>0.1</v>
      </c>
      <c r="S265">
        <v>0.1</v>
      </c>
      <c r="T265" s="7">
        <v>0</v>
      </c>
      <c r="U265" s="7">
        <v>0</v>
      </c>
      <c r="V265" s="7">
        <v>0</v>
      </c>
      <c r="W265" s="7">
        <v>0</v>
      </c>
      <c r="X265" s="6">
        <v>0.70369999999999999</v>
      </c>
      <c r="Y265" s="6">
        <v>0.28760000000000002</v>
      </c>
      <c r="Z265" s="4">
        <v>-11.43</v>
      </c>
      <c r="AA265" s="4">
        <v>-95.36</v>
      </c>
      <c r="AB265" s="6">
        <v>0.99960000000000004</v>
      </c>
      <c r="AD265" s="3">
        <v>1</v>
      </c>
      <c r="AE265" s="6">
        <v>5.8999999999999999E-3</v>
      </c>
      <c r="AF265" s="6">
        <v>4.2700000000000002E-2</v>
      </c>
      <c r="AG265" s="7">
        <v>0</v>
      </c>
      <c r="AH265" s="7">
        <v>0</v>
      </c>
      <c r="AI265" s="7">
        <v>59</v>
      </c>
      <c r="AJ265" s="3">
        <v>1</v>
      </c>
      <c r="AK265" s="7">
        <v>789501600</v>
      </c>
      <c r="AL265" s="5">
        <v>43.736699999999999</v>
      </c>
      <c r="AM265" s="5">
        <v>229.78319999999999</v>
      </c>
      <c r="AN265" s="5">
        <v>1091.2897</v>
      </c>
    </row>
    <row r="266" spans="1:40" ht="16.5" x14ac:dyDescent="0.45">
      <c r="A266" s="1" t="s">
        <v>95</v>
      </c>
      <c r="B266" s="1" t="s">
        <v>96</v>
      </c>
      <c r="C266" s="1" t="s">
        <v>41</v>
      </c>
      <c r="D266" s="1" t="s">
        <v>50</v>
      </c>
      <c r="E266" s="1" t="s">
        <v>51</v>
      </c>
      <c r="F266" s="1" t="s">
        <v>50</v>
      </c>
      <c r="G266" s="1" t="s">
        <v>51</v>
      </c>
      <c r="H266" s="1" t="s">
        <v>56</v>
      </c>
      <c r="I266" s="1" t="s">
        <v>57</v>
      </c>
      <c r="J266" s="1">
        <f t="shared" si="4"/>
        <v>100</v>
      </c>
      <c r="K266" s="3">
        <v>1</v>
      </c>
      <c r="L266" s="4">
        <v>59.42</v>
      </c>
      <c r="M266" s="5">
        <v>5.4715999999999996</v>
      </c>
      <c r="N266">
        <v>99.61</v>
      </c>
      <c r="O266">
        <v>99.81</v>
      </c>
      <c r="P266" s="6">
        <v>0.99809999999999999</v>
      </c>
      <c r="Q266" s="6">
        <v>0.99809999999999999</v>
      </c>
      <c r="R266">
        <v>0.05</v>
      </c>
      <c r="S266">
        <v>6.9999999999999993E-2</v>
      </c>
      <c r="T266" s="7">
        <v>0</v>
      </c>
      <c r="U266" s="7">
        <v>0</v>
      </c>
      <c r="V266" s="7">
        <v>0</v>
      </c>
      <c r="W266" s="7">
        <v>0</v>
      </c>
      <c r="X266" s="6">
        <v>0.73950000000000005</v>
      </c>
      <c r="Y266" s="6">
        <v>0.46279999999999999</v>
      </c>
      <c r="Z266" s="4">
        <v>-11.32</v>
      </c>
      <c r="AA266" s="4">
        <v>-92.3</v>
      </c>
      <c r="AB266" s="6">
        <v>0.99950000000000006</v>
      </c>
      <c r="AD266" s="6">
        <v>0.73080000000000001</v>
      </c>
      <c r="AE266" s="6">
        <v>6.0000000000000001E-3</v>
      </c>
      <c r="AF266" s="6">
        <v>3.95E-2</v>
      </c>
      <c r="AG266" s="7">
        <v>0</v>
      </c>
      <c r="AH266" s="7">
        <v>0</v>
      </c>
      <c r="AI266" s="7">
        <v>55</v>
      </c>
      <c r="AJ266" s="3">
        <v>1</v>
      </c>
      <c r="AK266" s="7">
        <v>789501600</v>
      </c>
      <c r="AL266" s="5">
        <v>50.988300000000002</v>
      </c>
      <c r="AM266" s="5">
        <v>302.23860000000002</v>
      </c>
      <c r="AN266" s="5">
        <v>1175.4093</v>
      </c>
    </row>
    <row r="267" spans="1:40" ht="16.5" x14ac:dyDescent="0.45">
      <c r="A267" s="1" t="s">
        <v>95</v>
      </c>
      <c r="B267" s="1" t="s">
        <v>96</v>
      </c>
      <c r="C267" s="1" t="s">
        <v>41</v>
      </c>
      <c r="D267" s="1" t="s">
        <v>50</v>
      </c>
      <c r="E267" s="1" t="s">
        <v>51</v>
      </c>
      <c r="F267" s="1" t="s">
        <v>50</v>
      </c>
      <c r="G267" s="1" t="s">
        <v>51</v>
      </c>
      <c r="H267" s="1" t="s">
        <v>58</v>
      </c>
      <c r="I267" s="1" t="s">
        <v>59</v>
      </c>
      <c r="J267" s="1">
        <f t="shared" si="4"/>
        <v>28.79</v>
      </c>
      <c r="K267" s="6">
        <v>0.28789999999999999</v>
      </c>
      <c r="L267" s="4">
        <v>16.309999999999999</v>
      </c>
      <c r="M267" s="5">
        <v>1.8021</v>
      </c>
      <c r="N267">
        <v>98.11</v>
      </c>
      <c r="O267">
        <v>98.81</v>
      </c>
      <c r="P267" s="6">
        <v>0.98799999999999999</v>
      </c>
      <c r="Q267" s="6">
        <v>0.98760000000000003</v>
      </c>
      <c r="R267">
        <v>7.5399999999999991</v>
      </c>
      <c r="S267">
        <v>1.1499999999999999</v>
      </c>
      <c r="T267" s="7">
        <v>9</v>
      </c>
      <c r="U267" s="7">
        <v>0</v>
      </c>
      <c r="V267" s="7">
        <v>0</v>
      </c>
      <c r="W267" s="7">
        <v>0</v>
      </c>
      <c r="X267" s="6">
        <v>0.69699999999999995</v>
      </c>
      <c r="Y267" s="6">
        <v>0.22839999999999999</v>
      </c>
      <c r="Z267" s="4">
        <v>-11.23</v>
      </c>
      <c r="AA267" s="4">
        <v>-97.01</v>
      </c>
      <c r="AB267" s="6">
        <v>0.98899999999999999</v>
      </c>
      <c r="AD267" s="3">
        <v>1</v>
      </c>
      <c r="AE267" s="6">
        <v>6.7999999999999996E-3</v>
      </c>
      <c r="AF267" s="6">
        <v>4.4499999999999998E-2</v>
      </c>
      <c r="AG267" s="7">
        <v>0</v>
      </c>
      <c r="AH267" s="7">
        <v>0</v>
      </c>
      <c r="AI267" s="7">
        <v>123</v>
      </c>
      <c r="AJ267" s="3">
        <v>1</v>
      </c>
      <c r="AK267" s="7">
        <v>789516982</v>
      </c>
      <c r="AL267" s="5">
        <v>14.423299999999999</v>
      </c>
      <c r="AM267" s="5">
        <v>98.583500000000001</v>
      </c>
      <c r="AN267" s="5">
        <v>398.20620000000002</v>
      </c>
    </row>
    <row r="268" spans="1:40" ht="16.5" x14ac:dyDescent="0.45">
      <c r="A268" s="1" t="s">
        <v>96</v>
      </c>
      <c r="B268" s="1" t="s">
        <v>97</v>
      </c>
      <c r="C268" s="1" t="s">
        <v>41</v>
      </c>
      <c r="D268" s="1" t="s">
        <v>42</v>
      </c>
      <c r="E268" s="1" t="s">
        <v>43</v>
      </c>
      <c r="F268" s="1" t="s">
        <v>42</v>
      </c>
      <c r="G268" s="1" t="s">
        <v>43</v>
      </c>
      <c r="H268" s="1" t="s">
        <v>44</v>
      </c>
      <c r="I268" s="1" t="s">
        <v>45</v>
      </c>
      <c r="J268" s="1">
        <f t="shared" si="4"/>
        <v>100</v>
      </c>
      <c r="K268" s="3">
        <v>1</v>
      </c>
      <c r="L268" s="4">
        <v>33.01</v>
      </c>
      <c r="M268" s="5">
        <v>4.5895000000000001</v>
      </c>
      <c r="N268">
        <v>99.550000000000011</v>
      </c>
      <c r="O268">
        <v>99.839999999999989</v>
      </c>
      <c r="P268" s="6">
        <v>0.99839999999999995</v>
      </c>
      <c r="Q268" s="6">
        <v>0.99829999999999997</v>
      </c>
      <c r="R268">
        <v>0</v>
      </c>
      <c r="S268">
        <v>0.08</v>
      </c>
      <c r="T268" s="7">
        <v>0</v>
      </c>
      <c r="U268" s="7">
        <v>0</v>
      </c>
      <c r="V268" s="7">
        <v>0</v>
      </c>
      <c r="W268" s="7">
        <v>0</v>
      </c>
      <c r="X268" s="6">
        <v>0.50700000000000001</v>
      </c>
      <c r="Y268" s="6">
        <v>0.20030000000000001</v>
      </c>
      <c r="Z268" s="4">
        <v>-10.89</v>
      </c>
      <c r="AA268" s="4">
        <v>-97.21</v>
      </c>
      <c r="AB268" s="6">
        <v>0.99970000000000003</v>
      </c>
      <c r="AC268" s="7">
        <v>100</v>
      </c>
      <c r="AD268" s="3">
        <v>0.8</v>
      </c>
      <c r="AE268" s="6">
        <v>4.4000000000000003E-3</v>
      </c>
      <c r="AF268" s="6">
        <v>4.6100000000000002E-2</v>
      </c>
      <c r="AG268" s="7">
        <v>0</v>
      </c>
      <c r="AH268" s="7">
        <v>0</v>
      </c>
      <c r="AI268" s="7">
        <v>43</v>
      </c>
      <c r="AJ268" s="6">
        <v>0.99990000000000001</v>
      </c>
      <c r="AK268" s="7">
        <v>789501600</v>
      </c>
      <c r="AL268" s="5">
        <v>42.981699999999996</v>
      </c>
      <c r="AM268" s="5">
        <v>239.8561</v>
      </c>
      <c r="AN268" s="5">
        <v>1030.0635</v>
      </c>
    </row>
    <row r="269" spans="1:40" ht="16.5" x14ac:dyDescent="0.45">
      <c r="A269" s="1" t="s">
        <v>96</v>
      </c>
      <c r="B269" s="1" t="s">
        <v>97</v>
      </c>
      <c r="C269" s="1" t="s">
        <v>41</v>
      </c>
      <c r="D269" s="1" t="s">
        <v>42</v>
      </c>
      <c r="E269" s="1" t="s">
        <v>43</v>
      </c>
      <c r="F269" s="1" t="s">
        <v>42</v>
      </c>
      <c r="G269" s="1" t="s">
        <v>43</v>
      </c>
      <c r="H269" s="1" t="s">
        <v>46</v>
      </c>
      <c r="I269" s="1" t="s">
        <v>47</v>
      </c>
      <c r="J269" s="1">
        <f t="shared" si="4"/>
        <v>100</v>
      </c>
      <c r="K269" s="3">
        <v>1</v>
      </c>
      <c r="L269" s="4">
        <v>25.41</v>
      </c>
      <c r="M269" s="5">
        <v>4.9691000000000001</v>
      </c>
      <c r="N269">
        <v>99.8</v>
      </c>
      <c r="O269">
        <v>99.81</v>
      </c>
      <c r="P269" s="6">
        <v>0.99809999999999999</v>
      </c>
      <c r="Q269" s="6">
        <v>0.99829999999999997</v>
      </c>
      <c r="R269">
        <v>0.35000000000000003</v>
      </c>
      <c r="S269">
        <v>6.9999999999999993E-2</v>
      </c>
      <c r="T269" s="7">
        <v>0</v>
      </c>
      <c r="U269" s="7">
        <v>0</v>
      </c>
      <c r="V269" s="7">
        <v>0</v>
      </c>
      <c r="W269" s="7">
        <v>0</v>
      </c>
      <c r="X269" s="6">
        <v>0.43480000000000002</v>
      </c>
      <c r="Y269" s="6">
        <v>0.15440000000000001</v>
      </c>
      <c r="Z269" s="4">
        <v>-9.91</v>
      </c>
      <c r="AA269" s="4">
        <v>-97.04</v>
      </c>
      <c r="AB269" s="6">
        <v>0.99980000000000002</v>
      </c>
      <c r="AD269" s="3">
        <v>0</v>
      </c>
      <c r="AE269" s="6">
        <v>5.1999999999999998E-3</v>
      </c>
      <c r="AF269" s="6">
        <v>4.7300000000000002E-2</v>
      </c>
      <c r="AG269" s="7">
        <v>0</v>
      </c>
      <c r="AH269" s="7">
        <v>0</v>
      </c>
      <c r="AI269" s="7">
        <v>60</v>
      </c>
      <c r="AJ269" s="3">
        <v>1</v>
      </c>
      <c r="AK269" s="7">
        <v>789501600</v>
      </c>
      <c r="AL269" s="5">
        <v>35.091700000000003</v>
      </c>
      <c r="AM269" s="5">
        <v>435.69709999999998</v>
      </c>
      <c r="AN269" s="5">
        <v>889.80700000000002</v>
      </c>
    </row>
    <row r="270" spans="1:40" ht="16.5" x14ac:dyDescent="0.45">
      <c r="A270" s="1" t="s">
        <v>96</v>
      </c>
      <c r="B270" s="1" t="s">
        <v>97</v>
      </c>
      <c r="C270" s="1" t="s">
        <v>41</v>
      </c>
      <c r="D270" s="1" t="s">
        <v>42</v>
      </c>
      <c r="E270" s="1" t="s">
        <v>43</v>
      </c>
      <c r="F270" s="1" t="s">
        <v>42</v>
      </c>
      <c r="G270" s="1" t="s">
        <v>43</v>
      </c>
      <c r="H270" s="1" t="s">
        <v>48</v>
      </c>
      <c r="I270" s="1" t="s">
        <v>49</v>
      </c>
      <c r="J270" s="1">
        <f t="shared" si="4"/>
        <v>100</v>
      </c>
      <c r="K270" s="3">
        <v>1</v>
      </c>
      <c r="L270" s="4">
        <v>24.02</v>
      </c>
      <c r="M270" s="5">
        <v>4.5231000000000003</v>
      </c>
      <c r="N270">
        <v>99.839999999999989</v>
      </c>
      <c r="O270">
        <v>99.9</v>
      </c>
      <c r="P270" s="6">
        <v>0.999</v>
      </c>
      <c r="Q270" s="6">
        <v>0.999</v>
      </c>
      <c r="R270">
        <v>0.43</v>
      </c>
      <c r="S270">
        <v>0.09</v>
      </c>
      <c r="T270" s="7">
        <v>0</v>
      </c>
      <c r="U270" s="7">
        <v>0</v>
      </c>
      <c r="V270" s="7">
        <v>0</v>
      </c>
      <c r="W270" s="7">
        <v>0</v>
      </c>
      <c r="X270" s="6">
        <v>0.62050000000000005</v>
      </c>
      <c r="Y270" s="6">
        <v>0.22359999999999999</v>
      </c>
      <c r="Z270" s="4">
        <v>-10.31</v>
      </c>
      <c r="AA270" s="4">
        <v>-98.17</v>
      </c>
      <c r="AB270" s="6">
        <v>0.99960000000000004</v>
      </c>
      <c r="AC270" s="4">
        <v>84.21</v>
      </c>
      <c r="AD270" s="6">
        <v>0.96879999999999999</v>
      </c>
      <c r="AE270" s="6">
        <v>4.3E-3</v>
      </c>
      <c r="AF270" s="6">
        <v>3.44E-2</v>
      </c>
      <c r="AG270" s="7">
        <v>0</v>
      </c>
      <c r="AH270" s="7">
        <v>0</v>
      </c>
      <c r="AI270" s="7">
        <v>29</v>
      </c>
      <c r="AJ270" s="6">
        <v>0.99970000000000003</v>
      </c>
      <c r="AK270" s="7">
        <v>789501600</v>
      </c>
      <c r="AL270" s="5">
        <v>43.476700000000001</v>
      </c>
      <c r="AM270" s="5">
        <v>186.93870000000001</v>
      </c>
      <c r="AN270" s="5">
        <v>1061.6681000000001</v>
      </c>
    </row>
    <row r="271" spans="1:40" ht="16.5" x14ac:dyDescent="0.45">
      <c r="A271" s="1" t="s">
        <v>96</v>
      </c>
      <c r="B271" s="1" t="s">
        <v>97</v>
      </c>
      <c r="C271" s="1" t="s">
        <v>41</v>
      </c>
      <c r="D271" s="1" t="s">
        <v>50</v>
      </c>
      <c r="E271" s="1" t="s">
        <v>51</v>
      </c>
      <c r="F271" s="1" t="s">
        <v>50</v>
      </c>
      <c r="G271" s="1" t="s">
        <v>51</v>
      </c>
      <c r="H271" s="1" t="s">
        <v>52</v>
      </c>
      <c r="I271" s="1" t="s">
        <v>53</v>
      </c>
      <c r="J271" s="1">
        <f t="shared" si="4"/>
        <v>100</v>
      </c>
      <c r="K271" s="3">
        <v>1</v>
      </c>
      <c r="L271" s="4">
        <v>65.319999999999993</v>
      </c>
      <c r="M271" s="5">
        <v>6.2972999999999999</v>
      </c>
      <c r="N271">
        <v>99.59</v>
      </c>
      <c r="O271">
        <v>99.429999999999993</v>
      </c>
      <c r="P271" s="6">
        <v>0.99419999999999997</v>
      </c>
      <c r="Q271" s="6">
        <v>0.99439999999999995</v>
      </c>
      <c r="R271">
        <v>0.16</v>
      </c>
      <c r="S271">
        <v>0.24</v>
      </c>
      <c r="T271" s="7">
        <v>0</v>
      </c>
      <c r="U271" s="7">
        <v>0</v>
      </c>
      <c r="V271" s="7">
        <v>0</v>
      </c>
      <c r="W271" s="7">
        <v>0</v>
      </c>
      <c r="X271" s="6">
        <v>0.74880000000000002</v>
      </c>
      <c r="Y271" s="6">
        <v>0.77010000000000001</v>
      </c>
      <c r="Z271" s="4">
        <v>-12.48</v>
      </c>
      <c r="AA271" s="4">
        <v>-90.49</v>
      </c>
      <c r="AB271" s="6">
        <v>0.99950000000000006</v>
      </c>
      <c r="AC271" s="4">
        <v>33.33</v>
      </c>
      <c r="AD271" s="3">
        <v>0</v>
      </c>
      <c r="AE271" s="6">
        <v>7.6E-3</v>
      </c>
      <c r="AF271" s="6">
        <v>6.3299999999999995E-2</v>
      </c>
      <c r="AG271" s="7">
        <v>0</v>
      </c>
      <c r="AH271" s="7">
        <v>0</v>
      </c>
      <c r="AI271" s="7">
        <v>157</v>
      </c>
      <c r="AJ271" s="3">
        <v>1</v>
      </c>
      <c r="AK271" s="7">
        <v>789501600</v>
      </c>
      <c r="AL271" s="5">
        <v>110.9332</v>
      </c>
      <c r="AM271" s="5">
        <v>477.71719999999999</v>
      </c>
      <c r="AN271" s="5">
        <v>1267.5309</v>
      </c>
    </row>
    <row r="272" spans="1:40" ht="16.5" x14ac:dyDescent="0.45">
      <c r="A272" s="1" t="s">
        <v>96</v>
      </c>
      <c r="B272" s="1" t="s">
        <v>97</v>
      </c>
      <c r="C272" s="1" t="s">
        <v>41</v>
      </c>
      <c r="D272" s="1" t="s">
        <v>50</v>
      </c>
      <c r="E272" s="1" t="s">
        <v>51</v>
      </c>
      <c r="F272" s="1" t="s">
        <v>50</v>
      </c>
      <c r="G272" s="1" t="s">
        <v>51</v>
      </c>
      <c r="H272" s="1" t="s">
        <v>54</v>
      </c>
      <c r="I272" s="1" t="s">
        <v>55</v>
      </c>
      <c r="J272" s="1">
        <f t="shared" si="4"/>
        <v>100</v>
      </c>
      <c r="K272" s="3">
        <v>1</v>
      </c>
      <c r="L272" s="4">
        <v>28.67</v>
      </c>
      <c r="M272" s="5">
        <v>5.8315999999999999</v>
      </c>
      <c r="N272">
        <v>99.76</v>
      </c>
      <c r="O272">
        <v>99.839999999999989</v>
      </c>
      <c r="P272" s="6">
        <v>0.99839999999999995</v>
      </c>
      <c r="Q272" s="6">
        <v>0.99850000000000005</v>
      </c>
      <c r="R272">
        <v>0.06</v>
      </c>
      <c r="S272">
        <v>0.06</v>
      </c>
      <c r="T272" s="7">
        <v>0</v>
      </c>
      <c r="U272" s="7">
        <v>0</v>
      </c>
      <c r="V272" s="7">
        <v>0</v>
      </c>
      <c r="W272" s="7">
        <v>0</v>
      </c>
      <c r="X272" s="6">
        <v>0.71730000000000005</v>
      </c>
      <c r="Y272" s="6">
        <v>0.31169999999999998</v>
      </c>
      <c r="Z272" s="4">
        <v>-11.38</v>
      </c>
      <c r="AA272" s="4">
        <v>-96.25</v>
      </c>
      <c r="AB272" s="6">
        <v>0.99950000000000006</v>
      </c>
      <c r="AD272" s="3">
        <v>0.5</v>
      </c>
      <c r="AE272" s="6">
        <v>6.8999999999999999E-3</v>
      </c>
      <c r="AF272" s="6">
        <v>5.5E-2</v>
      </c>
      <c r="AG272" s="7">
        <v>0</v>
      </c>
      <c r="AH272" s="7">
        <v>0</v>
      </c>
      <c r="AI272" s="7">
        <v>50</v>
      </c>
      <c r="AJ272" s="3">
        <v>1</v>
      </c>
      <c r="AK272" s="7">
        <v>789501600</v>
      </c>
      <c r="AL272" s="5">
        <v>47.565100000000001</v>
      </c>
      <c r="AM272" s="5">
        <v>266.67669999999998</v>
      </c>
      <c r="AN272" s="5">
        <v>1345.3137999999999</v>
      </c>
    </row>
    <row r="273" spans="1:40" ht="16.5" x14ac:dyDescent="0.45">
      <c r="A273" s="1" t="s">
        <v>96</v>
      </c>
      <c r="B273" s="1" t="s">
        <v>97</v>
      </c>
      <c r="C273" s="1" t="s">
        <v>41</v>
      </c>
      <c r="D273" s="1" t="s">
        <v>50</v>
      </c>
      <c r="E273" s="1" t="s">
        <v>51</v>
      </c>
      <c r="F273" s="1" t="s">
        <v>50</v>
      </c>
      <c r="G273" s="1" t="s">
        <v>51</v>
      </c>
      <c r="H273" s="1" t="s">
        <v>56</v>
      </c>
      <c r="I273" s="1" t="s">
        <v>57</v>
      </c>
      <c r="J273" s="1">
        <f t="shared" si="4"/>
        <v>100</v>
      </c>
      <c r="K273" s="3">
        <v>1</v>
      </c>
      <c r="L273" s="4">
        <v>46.84</v>
      </c>
      <c r="M273" s="5">
        <v>4.9467999999999996</v>
      </c>
      <c r="N273">
        <v>99.8</v>
      </c>
      <c r="O273">
        <v>99.87</v>
      </c>
      <c r="P273" s="6">
        <v>0.99870000000000003</v>
      </c>
      <c r="Q273" s="6">
        <v>0.99870000000000003</v>
      </c>
      <c r="R273">
        <v>0.06</v>
      </c>
      <c r="S273">
        <v>0.1</v>
      </c>
      <c r="T273" s="7">
        <v>0</v>
      </c>
      <c r="U273" s="7">
        <v>0</v>
      </c>
      <c r="V273" s="7">
        <v>0</v>
      </c>
      <c r="W273" s="7">
        <v>0</v>
      </c>
      <c r="X273" s="6">
        <v>0.72250000000000003</v>
      </c>
      <c r="Y273" s="6">
        <v>0.42459999999999998</v>
      </c>
      <c r="Z273" s="4">
        <v>-11.1</v>
      </c>
      <c r="AA273" s="7">
        <v>-93</v>
      </c>
      <c r="AB273" s="6">
        <v>0.99960000000000004</v>
      </c>
      <c r="AD273" s="6">
        <v>0.89470000000000005</v>
      </c>
      <c r="AE273" s="6">
        <v>6.1000000000000004E-3</v>
      </c>
      <c r="AF273" s="6">
        <v>5.2699999999999997E-2</v>
      </c>
      <c r="AG273" s="7">
        <v>0</v>
      </c>
      <c r="AH273" s="7">
        <v>0</v>
      </c>
      <c r="AI273" s="7">
        <v>33</v>
      </c>
      <c r="AJ273" s="3">
        <v>1</v>
      </c>
      <c r="AK273" s="7">
        <v>789501600</v>
      </c>
      <c r="AL273" s="5">
        <v>48.479900000000001</v>
      </c>
      <c r="AM273" s="5">
        <v>290.48880000000003</v>
      </c>
      <c r="AN273" s="5">
        <v>1027.4360999999999</v>
      </c>
    </row>
    <row r="274" spans="1:40" ht="16.5" x14ac:dyDescent="0.45">
      <c r="A274" s="1" t="s">
        <v>96</v>
      </c>
      <c r="B274" s="1" t="s">
        <v>97</v>
      </c>
      <c r="C274" s="1" t="s">
        <v>41</v>
      </c>
      <c r="D274" s="1" t="s">
        <v>50</v>
      </c>
      <c r="E274" s="1" t="s">
        <v>51</v>
      </c>
      <c r="F274" s="1" t="s">
        <v>50</v>
      </c>
      <c r="G274" s="1" t="s">
        <v>51</v>
      </c>
      <c r="H274" s="1" t="s">
        <v>58</v>
      </c>
      <c r="I274" s="1" t="s">
        <v>59</v>
      </c>
      <c r="J274" s="1">
        <f t="shared" si="4"/>
        <v>29.78</v>
      </c>
      <c r="K274" s="6">
        <v>0.29780000000000001</v>
      </c>
      <c r="L274" s="4">
        <v>14.46</v>
      </c>
      <c r="M274" s="5">
        <v>1.9576</v>
      </c>
      <c r="N274">
        <v>98.63</v>
      </c>
      <c r="O274">
        <v>99.03</v>
      </c>
      <c r="P274" s="6">
        <v>0.99029999999999996</v>
      </c>
      <c r="Q274" s="6">
        <v>0.99009999999999998</v>
      </c>
      <c r="R274">
        <v>8.66</v>
      </c>
      <c r="S274">
        <v>0.91999999999999993</v>
      </c>
      <c r="T274" s="7">
        <v>5</v>
      </c>
      <c r="U274" s="7">
        <v>0</v>
      </c>
      <c r="V274" s="7">
        <v>0</v>
      </c>
      <c r="W274" s="7">
        <v>0</v>
      </c>
      <c r="X274" s="6">
        <v>0.61509999999999998</v>
      </c>
      <c r="Y274" s="6">
        <v>0.22439999999999999</v>
      </c>
      <c r="Z274" s="4">
        <v>-10.66</v>
      </c>
      <c r="AA274" s="7">
        <v>-98</v>
      </c>
      <c r="AB274" s="6">
        <v>0.99180000000000001</v>
      </c>
      <c r="AD274" s="3">
        <v>1</v>
      </c>
      <c r="AE274" s="6">
        <v>7.6E-3</v>
      </c>
      <c r="AF274" s="6">
        <v>6.3200000000000006E-2</v>
      </c>
      <c r="AG274" s="7">
        <v>0</v>
      </c>
      <c r="AH274" s="7">
        <v>0</v>
      </c>
      <c r="AI274" s="7">
        <v>119</v>
      </c>
      <c r="AJ274" s="3">
        <v>1</v>
      </c>
      <c r="AK274" s="7">
        <v>789516768</v>
      </c>
      <c r="AL274" s="5">
        <v>12.9817</v>
      </c>
      <c r="AM274" s="5">
        <v>105.1532</v>
      </c>
      <c r="AN274" s="5">
        <v>436.95069999999998</v>
      </c>
    </row>
    <row r="275" spans="1:40" ht="16.5" x14ac:dyDescent="0.45">
      <c r="A275" s="1" t="s">
        <v>97</v>
      </c>
      <c r="B275" s="1" t="s">
        <v>98</v>
      </c>
      <c r="C275" s="1" t="s">
        <v>41</v>
      </c>
      <c r="D275" s="1" t="s">
        <v>42</v>
      </c>
      <c r="E275" s="1" t="s">
        <v>43</v>
      </c>
      <c r="F275" s="1" t="s">
        <v>42</v>
      </c>
      <c r="G275" s="1" t="s">
        <v>43</v>
      </c>
      <c r="H275" s="1" t="s">
        <v>44</v>
      </c>
      <c r="I275" s="1" t="s">
        <v>45</v>
      </c>
      <c r="J275" s="1">
        <f t="shared" si="4"/>
        <v>100</v>
      </c>
      <c r="K275" s="3">
        <v>1</v>
      </c>
      <c r="L275" s="4">
        <v>25.53</v>
      </c>
      <c r="M275" s="5">
        <v>4.0422000000000002</v>
      </c>
      <c r="N275">
        <v>99.89</v>
      </c>
      <c r="O275">
        <v>99.83</v>
      </c>
      <c r="P275" s="6">
        <v>0.99829999999999997</v>
      </c>
      <c r="Q275" s="6">
        <v>0.99829999999999997</v>
      </c>
      <c r="R275">
        <v>0</v>
      </c>
      <c r="S275">
        <v>0.06</v>
      </c>
      <c r="T275" s="7">
        <v>0</v>
      </c>
      <c r="U275" s="7">
        <v>0</v>
      </c>
      <c r="V275" s="7">
        <v>0</v>
      </c>
      <c r="W275" s="7">
        <v>0</v>
      </c>
      <c r="X275" s="6">
        <v>0.48220000000000002</v>
      </c>
      <c r="Y275" s="6">
        <v>0.18940000000000001</v>
      </c>
      <c r="Z275" s="4">
        <v>-10.48</v>
      </c>
      <c r="AA275" s="4">
        <v>-97.6</v>
      </c>
      <c r="AB275" s="6">
        <v>0.99939999999999996</v>
      </c>
      <c r="AD275" s="3">
        <v>1</v>
      </c>
      <c r="AE275" s="6">
        <v>4.1000000000000003E-3</v>
      </c>
      <c r="AF275" s="6">
        <v>4.5100000000000001E-2</v>
      </c>
      <c r="AG275" s="7">
        <v>0</v>
      </c>
      <c r="AH275" s="7">
        <v>0</v>
      </c>
      <c r="AI275" s="7">
        <v>36</v>
      </c>
      <c r="AJ275" s="6">
        <v>0.99990000000000001</v>
      </c>
      <c r="AK275" s="7">
        <v>789501600</v>
      </c>
      <c r="AL275" s="5">
        <v>37.023400000000002</v>
      </c>
      <c r="AM275" s="5">
        <v>172.19229999999999</v>
      </c>
      <c r="AN275" s="5">
        <v>942.28139999999996</v>
      </c>
    </row>
    <row r="276" spans="1:40" ht="16.5" x14ac:dyDescent="0.45">
      <c r="A276" s="1" t="s">
        <v>97</v>
      </c>
      <c r="B276" s="1" t="s">
        <v>98</v>
      </c>
      <c r="C276" s="1" t="s">
        <v>41</v>
      </c>
      <c r="D276" s="1" t="s">
        <v>42</v>
      </c>
      <c r="E276" s="1" t="s">
        <v>43</v>
      </c>
      <c r="F276" s="1" t="s">
        <v>42</v>
      </c>
      <c r="G276" s="1" t="s">
        <v>43</v>
      </c>
      <c r="H276" s="1" t="s">
        <v>46</v>
      </c>
      <c r="I276" s="1" t="s">
        <v>47</v>
      </c>
      <c r="J276" s="1">
        <f t="shared" si="4"/>
        <v>100</v>
      </c>
      <c r="K276" s="3">
        <v>1</v>
      </c>
      <c r="L276" s="4">
        <v>20.68</v>
      </c>
      <c r="M276" s="5">
        <v>4.2110000000000003</v>
      </c>
      <c r="N276">
        <v>99.4</v>
      </c>
      <c r="O276">
        <v>99.86</v>
      </c>
      <c r="P276" s="6">
        <v>0.99860000000000004</v>
      </c>
      <c r="Q276" s="6">
        <v>0.99870000000000003</v>
      </c>
      <c r="R276">
        <v>0.09</v>
      </c>
      <c r="S276">
        <v>0.08</v>
      </c>
      <c r="T276" s="7">
        <v>0</v>
      </c>
      <c r="U276" s="7">
        <v>0</v>
      </c>
      <c r="V276" s="7">
        <v>0</v>
      </c>
      <c r="W276" s="7">
        <v>0</v>
      </c>
      <c r="X276" s="6">
        <v>0.34289999999999998</v>
      </c>
      <c r="Y276" s="6">
        <v>0.1449</v>
      </c>
      <c r="Z276" s="4">
        <v>-9.07</v>
      </c>
      <c r="AA276" s="4">
        <v>-97.6</v>
      </c>
      <c r="AB276" s="6">
        <v>0.99980000000000002</v>
      </c>
      <c r="AD276" s="3">
        <v>0.5</v>
      </c>
      <c r="AE276" s="6">
        <v>5.3E-3</v>
      </c>
      <c r="AF276" s="6">
        <v>3.09E-2</v>
      </c>
      <c r="AG276" s="7">
        <v>0</v>
      </c>
      <c r="AH276" s="7">
        <v>0</v>
      </c>
      <c r="AI276" s="7">
        <v>59</v>
      </c>
      <c r="AJ276" s="3">
        <v>1</v>
      </c>
      <c r="AK276" s="7">
        <v>789501600</v>
      </c>
      <c r="AL276" s="5">
        <v>29.245000000000001</v>
      </c>
      <c r="AM276" s="5">
        <v>382.68950000000001</v>
      </c>
      <c r="AN276" s="5">
        <v>777.46659999999997</v>
      </c>
    </row>
    <row r="277" spans="1:40" ht="16.5" x14ac:dyDescent="0.45">
      <c r="A277" s="1" t="s">
        <v>97</v>
      </c>
      <c r="B277" s="1" t="s">
        <v>98</v>
      </c>
      <c r="C277" s="1" t="s">
        <v>41</v>
      </c>
      <c r="D277" s="1" t="s">
        <v>42</v>
      </c>
      <c r="E277" s="1" t="s">
        <v>43</v>
      </c>
      <c r="F277" s="1" t="s">
        <v>42</v>
      </c>
      <c r="G277" s="1" t="s">
        <v>43</v>
      </c>
      <c r="H277" s="1" t="s">
        <v>48</v>
      </c>
      <c r="I277" s="1" t="s">
        <v>49</v>
      </c>
      <c r="J277" s="1">
        <f t="shared" si="4"/>
        <v>100</v>
      </c>
      <c r="K277" s="3">
        <v>1</v>
      </c>
      <c r="L277" s="4">
        <v>16.93</v>
      </c>
      <c r="M277" s="5">
        <v>4.8250000000000002</v>
      </c>
      <c r="N277">
        <v>99.68</v>
      </c>
      <c r="O277">
        <v>99.81</v>
      </c>
      <c r="P277" s="6">
        <v>0.99809999999999999</v>
      </c>
      <c r="Q277" s="6">
        <v>0.99809999999999999</v>
      </c>
      <c r="R277">
        <v>0</v>
      </c>
      <c r="S277">
        <v>6.9999999999999993E-2</v>
      </c>
      <c r="T277" s="7">
        <v>0</v>
      </c>
      <c r="U277" s="7">
        <v>0</v>
      </c>
      <c r="V277" s="7">
        <v>0</v>
      </c>
      <c r="W277" s="7">
        <v>0</v>
      </c>
      <c r="X277" s="6">
        <v>0.52700000000000002</v>
      </c>
      <c r="Y277" s="6">
        <v>0.2087</v>
      </c>
      <c r="Z277" s="4">
        <v>-9.58</v>
      </c>
      <c r="AA277" s="4">
        <v>-98.23</v>
      </c>
      <c r="AB277" s="6">
        <v>0.99939999999999996</v>
      </c>
      <c r="AC277" s="4">
        <v>92.31</v>
      </c>
      <c r="AD277" s="3">
        <v>1</v>
      </c>
      <c r="AE277" s="6">
        <v>4.4999999999999997E-3</v>
      </c>
      <c r="AF277" s="6">
        <v>3.3599999999999998E-2</v>
      </c>
      <c r="AG277" s="7">
        <v>0</v>
      </c>
      <c r="AH277" s="7">
        <v>0</v>
      </c>
      <c r="AI277" s="7">
        <v>26</v>
      </c>
      <c r="AJ277" s="6">
        <v>0.99960000000000004</v>
      </c>
      <c r="AK277" s="7">
        <v>789501600</v>
      </c>
      <c r="AL277" s="5">
        <v>37.32</v>
      </c>
      <c r="AM277" s="5">
        <v>204.22020000000001</v>
      </c>
      <c r="AN277" s="5">
        <v>1150.1880000000001</v>
      </c>
    </row>
    <row r="278" spans="1:40" ht="16.5" x14ac:dyDescent="0.45">
      <c r="A278" s="1" t="s">
        <v>97</v>
      </c>
      <c r="B278" s="1" t="s">
        <v>98</v>
      </c>
      <c r="C278" s="1" t="s">
        <v>41</v>
      </c>
      <c r="D278" s="1" t="s">
        <v>50</v>
      </c>
      <c r="E278" s="1" t="s">
        <v>51</v>
      </c>
      <c r="F278" s="1" t="s">
        <v>50</v>
      </c>
      <c r="G278" s="1" t="s">
        <v>51</v>
      </c>
      <c r="H278" s="1" t="s">
        <v>52</v>
      </c>
      <c r="I278" s="1" t="s">
        <v>53</v>
      </c>
      <c r="J278" s="1">
        <f t="shared" si="4"/>
        <v>100</v>
      </c>
      <c r="K278" s="3">
        <v>1</v>
      </c>
      <c r="L278" s="4">
        <v>50.19</v>
      </c>
      <c r="M278" s="5">
        <v>5.9557000000000002</v>
      </c>
      <c r="N278">
        <v>99.8</v>
      </c>
      <c r="O278">
        <v>99.839999999999989</v>
      </c>
      <c r="P278" s="6">
        <v>0.99839999999999995</v>
      </c>
      <c r="Q278" s="6">
        <v>0.99839999999999995</v>
      </c>
      <c r="R278">
        <v>0.09</v>
      </c>
      <c r="S278">
        <v>0.15</v>
      </c>
      <c r="T278" s="7">
        <v>0</v>
      </c>
      <c r="U278" s="7">
        <v>0</v>
      </c>
      <c r="V278" s="7">
        <v>0</v>
      </c>
      <c r="W278" s="7">
        <v>0</v>
      </c>
      <c r="X278" s="6">
        <v>0.67689999999999995</v>
      </c>
      <c r="Y278" s="6">
        <v>0.53910000000000002</v>
      </c>
      <c r="Z278" s="4">
        <v>-12.1</v>
      </c>
      <c r="AA278" s="4">
        <v>-91.92</v>
      </c>
      <c r="AB278" s="6">
        <v>0.99960000000000004</v>
      </c>
      <c r="AC278" s="7">
        <v>100</v>
      </c>
      <c r="AD278" s="3">
        <v>0</v>
      </c>
      <c r="AE278" s="6">
        <v>6.7999999999999996E-3</v>
      </c>
      <c r="AF278" s="6">
        <v>5.4600000000000003E-2</v>
      </c>
      <c r="AG278" s="7">
        <v>0</v>
      </c>
      <c r="AH278" s="7">
        <v>0</v>
      </c>
      <c r="AI278" s="7">
        <v>98</v>
      </c>
      <c r="AJ278" s="6">
        <v>0.99990000000000001</v>
      </c>
      <c r="AK278" s="7">
        <v>789501600</v>
      </c>
      <c r="AL278" s="5">
        <v>83.951700000000002</v>
      </c>
      <c r="AM278" s="5">
        <v>426.24959999999999</v>
      </c>
      <c r="AN278" s="5">
        <v>1238.9276</v>
      </c>
    </row>
    <row r="279" spans="1:40" ht="16.5" x14ac:dyDescent="0.45">
      <c r="A279" s="1" t="s">
        <v>97</v>
      </c>
      <c r="B279" s="1" t="s">
        <v>98</v>
      </c>
      <c r="C279" s="1" t="s">
        <v>41</v>
      </c>
      <c r="D279" s="1" t="s">
        <v>50</v>
      </c>
      <c r="E279" s="1" t="s">
        <v>51</v>
      </c>
      <c r="F279" s="1" t="s">
        <v>50</v>
      </c>
      <c r="G279" s="1" t="s">
        <v>51</v>
      </c>
      <c r="H279" s="1" t="s">
        <v>54</v>
      </c>
      <c r="I279" s="1" t="s">
        <v>55</v>
      </c>
      <c r="J279" s="1">
        <f t="shared" si="4"/>
        <v>100</v>
      </c>
      <c r="K279" s="3">
        <v>1</v>
      </c>
      <c r="L279" s="4">
        <v>27.94</v>
      </c>
      <c r="M279" s="5">
        <v>5.0846999999999998</v>
      </c>
      <c r="N279">
        <v>99.839999999999989</v>
      </c>
      <c r="O279">
        <v>99.89</v>
      </c>
      <c r="P279" s="6">
        <v>0.99890000000000001</v>
      </c>
      <c r="Q279" s="6">
        <v>0.99890000000000001</v>
      </c>
      <c r="R279">
        <v>0</v>
      </c>
      <c r="S279">
        <v>0.03</v>
      </c>
      <c r="T279" s="7">
        <v>0</v>
      </c>
      <c r="U279" s="7">
        <v>0</v>
      </c>
      <c r="V279" s="7">
        <v>0</v>
      </c>
      <c r="W279" s="7">
        <v>0</v>
      </c>
      <c r="X279" s="6">
        <v>0.60199999999999998</v>
      </c>
      <c r="Y279" s="6">
        <v>0.28939999999999999</v>
      </c>
      <c r="Z279" s="4">
        <v>-10.51</v>
      </c>
      <c r="AA279" s="4">
        <v>-96.93</v>
      </c>
      <c r="AB279" s="6">
        <v>0.99980000000000002</v>
      </c>
      <c r="AD279" s="3">
        <v>1</v>
      </c>
      <c r="AE279" s="6">
        <v>5.8999999999999999E-3</v>
      </c>
      <c r="AF279" s="6">
        <v>3.8300000000000001E-2</v>
      </c>
      <c r="AG279" s="7">
        <v>0</v>
      </c>
      <c r="AH279" s="7">
        <v>0</v>
      </c>
      <c r="AI279" s="7">
        <v>29</v>
      </c>
      <c r="AJ279" s="3">
        <v>1</v>
      </c>
      <c r="AK279" s="7">
        <v>789501600</v>
      </c>
      <c r="AL279" s="5">
        <v>36.460099999999997</v>
      </c>
      <c r="AM279" s="5">
        <v>209.12690000000001</v>
      </c>
      <c r="AN279" s="5">
        <v>1201.2355</v>
      </c>
    </row>
    <row r="280" spans="1:40" ht="16.5" x14ac:dyDescent="0.45">
      <c r="A280" s="1" t="s">
        <v>97</v>
      </c>
      <c r="B280" s="1" t="s">
        <v>98</v>
      </c>
      <c r="C280" s="1" t="s">
        <v>41</v>
      </c>
      <c r="D280" s="1" t="s">
        <v>50</v>
      </c>
      <c r="E280" s="1" t="s">
        <v>51</v>
      </c>
      <c r="F280" s="1" t="s">
        <v>50</v>
      </c>
      <c r="G280" s="1" t="s">
        <v>51</v>
      </c>
      <c r="H280" s="1" t="s">
        <v>56</v>
      </c>
      <c r="I280" s="1" t="s">
        <v>57</v>
      </c>
      <c r="J280" s="1">
        <f t="shared" si="4"/>
        <v>100</v>
      </c>
      <c r="K280" s="3">
        <v>1</v>
      </c>
      <c r="L280" s="4">
        <v>36.729999999999997</v>
      </c>
      <c r="M280" s="5">
        <v>5.0693999999999999</v>
      </c>
      <c r="N280">
        <v>99.92</v>
      </c>
      <c r="O280">
        <v>99.9</v>
      </c>
      <c r="P280" s="6">
        <v>0.999</v>
      </c>
      <c r="Q280" s="6">
        <v>0.999</v>
      </c>
      <c r="R280">
        <v>0.04</v>
      </c>
      <c r="S280">
        <v>0.09</v>
      </c>
      <c r="T280" s="7">
        <v>0</v>
      </c>
      <c r="U280" s="7">
        <v>0</v>
      </c>
      <c r="V280" s="7">
        <v>0</v>
      </c>
      <c r="W280" s="7">
        <v>0</v>
      </c>
      <c r="X280" s="6">
        <v>0.69650000000000001</v>
      </c>
      <c r="Y280" s="6">
        <v>0.36430000000000001</v>
      </c>
      <c r="Z280" s="4">
        <v>-10.84</v>
      </c>
      <c r="AA280" s="4">
        <v>-94.8</v>
      </c>
      <c r="AB280" s="6">
        <v>0.99950000000000006</v>
      </c>
      <c r="AD280" s="3">
        <v>0.8</v>
      </c>
      <c r="AE280" s="6">
        <v>4.7000000000000002E-3</v>
      </c>
      <c r="AF280" s="6">
        <v>3.7499999999999999E-2</v>
      </c>
      <c r="AG280" s="7">
        <v>0</v>
      </c>
      <c r="AH280" s="7">
        <v>0</v>
      </c>
      <c r="AI280" s="7">
        <v>40</v>
      </c>
      <c r="AJ280" s="3">
        <v>1</v>
      </c>
      <c r="AK280" s="7">
        <v>789501600</v>
      </c>
      <c r="AL280" s="5">
        <v>43.07</v>
      </c>
      <c r="AM280" s="5">
        <v>247.02879999999999</v>
      </c>
      <c r="AN280" s="5">
        <v>1151.7049999999999</v>
      </c>
    </row>
    <row r="281" spans="1:40" ht="16.5" x14ac:dyDescent="0.45">
      <c r="A281" s="1" t="s">
        <v>97</v>
      </c>
      <c r="B281" s="1" t="s">
        <v>98</v>
      </c>
      <c r="C281" s="1" t="s">
        <v>41</v>
      </c>
      <c r="D281" s="1" t="s">
        <v>50</v>
      </c>
      <c r="E281" s="1" t="s">
        <v>51</v>
      </c>
      <c r="F281" s="1" t="s">
        <v>50</v>
      </c>
      <c r="G281" s="1" t="s">
        <v>51</v>
      </c>
      <c r="H281" s="1" t="s">
        <v>58</v>
      </c>
      <c r="I281" s="1" t="s">
        <v>59</v>
      </c>
      <c r="J281" s="1">
        <f t="shared" si="4"/>
        <v>76.53</v>
      </c>
      <c r="K281" s="6">
        <v>0.76529999999999998</v>
      </c>
      <c r="L281" s="4">
        <v>17.98</v>
      </c>
      <c r="M281" s="5">
        <v>4.6654999999999998</v>
      </c>
      <c r="N281">
        <v>99.79</v>
      </c>
      <c r="O281">
        <v>99.75</v>
      </c>
      <c r="P281" s="6">
        <v>0.99750000000000005</v>
      </c>
      <c r="Q281" s="6">
        <v>0.99750000000000005</v>
      </c>
      <c r="R281">
        <v>1.54</v>
      </c>
      <c r="S281">
        <v>0.13999999999999999</v>
      </c>
      <c r="T281" s="7">
        <v>0</v>
      </c>
      <c r="U281" s="7">
        <v>0</v>
      </c>
      <c r="V281" s="7">
        <v>0</v>
      </c>
      <c r="W281" s="7">
        <v>0</v>
      </c>
      <c r="X281" s="6">
        <v>0.53600000000000003</v>
      </c>
      <c r="Y281" s="6">
        <v>0.34610000000000002</v>
      </c>
      <c r="Z281" s="4">
        <v>-9.81</v>
      </c>
      <c r="AA281" s="4">
        <v>-99.49</v>
      </c>
      <c r="AB281" s="6">
        <v>0.99890000000000001</v>
      </c>
      <c r="AD281" s="3">
        <v>0.5</v>
      </c>
      <c r="AE281" s="6">
        <v>5.1000000000000004E-3</v>
      </c>
      <c r="AF281" s="6">
        <v>5.0700000000000002E-2</v>
      </c>
      <c r="AG281" s="7">
        <v>0</v>
      </c>
      <c r="AH281" s="7">
        <v>0</v>
      </c>
      <c r="AI281" s="7">
        <v>45</v>
      </c>
      <c r="AJ281" s="3">
        <v>1</v>
      </c>
      <c r="AK281" s="7">
        <v>789506669</v>
      </c>
      <c r="AL281" s="5">
        <v>30.49</v>
      </c>
      <c r="AM281" s="5">
        <v>197.00069999999999</v>
      </c>
      <c r="AN281" s="5">
        <v>1105.4347</v>
      </c>
    </row>
    <row r="282" spans="1:40" ht="16.5" x14ac:dyDescent="0.45">
      <c r="A282" s="1" t="s">
        <v>98</v>
      </c>
      <c r="B282" s="1" t="s">
        <v>99</v>
      </c>
      <c r="C282" s="1" t="s">
        <v>41</v>
      </c>
      <c r="D282" s="1" t="s">
        <v>42</v>
      </c>
      <c r="E282" s="1" t="s">
        <v>43</v>
      </c>
      <c r="F282" s="1" t="s">
        <v>42</v>
      </c>
      <c r="G282" s="1" t="s">
        <v>43</v>
      </c>
      <c r="H282" s="1" t="s">
        <v>44</v>
      </c>
      <c r="I282" s="1" t="s">
        <v>45</v>
      </c>
      <c r="J282" s="1">
        <f t="shared" si="4"/>
        <v>100</v>
      </c>
      <c r="K282" s="3">
        <v>1</v>
      </c>
      <c r="L282" s="4">
        <v>15.75</v>
      </c>
      <c r="M282" s="5">
        <v>2.7993000000000001</v>
      </c>
      <c r="N282">
        <v>99.61</v>
      </c>
      <c r="O282">
        <v>99.86</v>
      </c>
      <c r="P282" s="6">
        <v>0.99860000000000004</v>
      </c>
      <c r="Q282" s="6">
        <v>0.99870000000000003</v>
      </c>
      <c r="R282">
        <v>0.1</v>
      </c>
      <c r="S282">
        <v>0.05</v>
      </c>
      <c r="T282" s="7">
        <v>0</v>
      </c>
      <c r="U282" s="7">
        <v>0</v>
      </c>
      <c r="V282" s="7">
        <v>0</v>
      </c>
      <c r="W282" s="7">
        <v>0</v>
      </c>
      <c r="X282" s="6">
        <v>0.32640000000000002</v>
      </c>
      <c r="Y282" s="6">
        <v>0.1779</v>
      </c>
      <c r="Z282" s="4">
        <v>-9.06</v>
      </c>
      <c r="AA282" s="4">
        <v>-99.54</v>
      </c>
      <c r="AB282" s="3">
        <v>1</v>
      </c>
      <c r="AC282" s="7">
        <v>100</v>
      </c>
      <c r="AD282" s="3">
        <v>1</v>
      </c>
      <c r="AE282" s="6">
        <v>3.8E-3</v>
      </c>
      <c r="AF282" s="6">
        <v>2.86E-2</v>
      </c>
      <c r="AG282" s="7">
        <v>0</v>
      </c>
      <c r="AH282" s="7">
        <v>0</v>
      </c>
      <c r="AI282" s="7">
        <v>29</v>
      </c>
      <c r="AJ282" s="6">
        <v>0.99980000000000002</v>
      </c>
      <c r="AK282" s="7">
        <v>789501600</v>
      </c>
      <c r="AL282" s="5">
        <v>30.311699999999998</v>
      </c>
      <c r="AM282" s="5">
        <v>132.0675</v>
      </c>
      <c r="AN282" s="5">
        <v>632.73680000000002</v>
      </c>
    </row>
    <row r="283" spans="1:40" ht="16.5" x14ac:dyDescent="0.45">
      <c r="A283" s="1" t="s">
        <v>98</v>
      </c>
      <c r="B283" s="1" t="s">
        <v>99</v>
      </c>
      <c r="C283" s="1" t="s">
        <v>41</v>
      </c>
      <c r="D283" s="1" t="s">
        <v>42</v>
      </c>
      <c r="E283" s="1" t="s">
        <v>43</v>
      </c>
      <c r="F283" s="1" t="s">
        <v>42</v>
      </c>
      <c r="G283" s="1" t="s">
        <v>43</v>
      </c>
      <c r="H283" s="1" t="s">
        <v>46</v>
      </c>
      <c r="I283" s="1" t="s">
        <v>47</v>
      </c>
      <c r="J283" s="1">
        <f t="shared" si="4"/>
        <v>100</v>
      </c>
      <c r="K283" s="3">
        <v>1</v>
      </c>
      <c r="L283" s="4">
        <v>13.18</v>
      </c>
      <c r="M283" s="5">
        <v>3.2692999999999999</v>
      </c>
      <c r="N283">
        <v>99.87</v>
      </c>
      <c r="O283">
        <v>99.86</v>
      </c>
      <c r="P283" s="6">
        <v>0.99860000000000004</v>
      </c>
      <c r="Q283" s="6">
        <v>0.99880000000000002</v>
      </c>
      <c r="R283">
        <v>0</v>
      </c>
      <c r="S283">
        <v>0.04</v>
      </c>
      <c r="T283" s="7">
        <v>0</v>
      </c>
      <c r="U283" s="7">
        <v>0</v>
      </c>
      <c r="V283" s="7">
        <v>0</v>
      </c>
      <c r="W283" s="7">
        <v>0</v>
      </c>
      <c r="X283" s="6">
        <v>0.23280000000000001</v>
      </c>
      <c r="Y283" s="6">
        <v>0.1101</v>
      </c>
      <c r="Z283" s="4">
        <v>-7.31</v>
      </c>
      <c r="AA283" s="4">
        <v>-100.08</v>
      </c>
      <c r="AB283" s="6">
        <v>0.99980000000000002</v>
      </c>
      <c r="AD283" s="3">
        <v>0.5</v>
      </c>
      <c r="AE283" s="6">
        <v>2.8999999999999998E-3</v>
      </c>
      <c r="AF283" s="6">
        <v>1.4800000000000001E-2</v>
      </c>
      <c r="AG283" s="7">
        <v>0</v>
      </c>
      <c r="AH283" s="7">
        <v>0</v>
      </c>
      <c r="AI283" s="7">
        <v>37</v>
      </c>
      <c r="AJ283" s="6">
        <v>0.99990000000000001</v>
      </c>
      <c r="AK283" s="7">
        <v>789501600</v>
      </c>
      <c r="AL283" s="5">
        <v>22.885000000000002</v>
      </c>
      <c r="AM283" s="5">
        <v>348.97710000000001</v>
      </c>
      <c r="AN283" s="5">
        <v>562.52909999999997</v>
      </c>
    </row>
    <row r="284" spans="1:40" ht="16.5" x14ac:dyDescent="0.45">
      <c r="A284" s="1" t="s">
        <v>98</v>
      </c>
      <c r="B284" s="1" t="s">
        <v>99</v>
      </c>
      <c r="C284" s="1" t="s">
        <v>41</v>
      </c>
      <c r="D284" s="1" t="s">
        <v>42</v>
      </c>
      <c r="E284" s="1" t="s">
        <v>43</v>
      </c>
      <c r="F284" s="1" t="s">
        <v>42</v>
      </c>
      <c r="G284" s="1" t="s">
        <v>43</v>
      </c>
      <c r="H284" s="1" t="s">
        <v>48</v>
      </c>
      <c r="I284" s="1" t="s">
        <v>49</v>
      </c>
      <c r="J284" s="1">
        <f t="shared" si="4"/>
        <v>100</v>
      </c>
      <c r="K284" s="3">
        <v>1</v>
      </c>
      <c r="L284" s="4">
        <v>13.89</v>
      </c>
      <c r="M284" s="5">
        <v>2.9045999999999998</v>
      </c>
      <c r="N284">
        <v>99.83</v>
      </c>
      <c r="O284">
        <v>99.87</v>
      </c>
      <c r="P284" s="6">
        <v>0.99870000000000003</v>
      </c>
      <c r="Q284" s="6">
        <v>0.99870000000000003</v>
      </c>
      <c r="R284">
        <v>0</v>
      </c>
      <c r="S284">
        <v>0.03</v>
      </c>
      <c r="T284" s="7">
        <v>0</v>
      </c>
      <c r="U284" s="7">
        <v>0</v>
      </c>
      <c r="V284" s="7">
        <v>0</v>
      </c>
      <c r="W284" s="7">
        <v>0</v>
      </c>
      <c r="X284" s="6">
        <v>0.32429999999999998</v>
      </c>
      <c r="Y284" s="6">
        <v>0.14449999999999999</v>
      </c>
      <c r="Z284" s="4">
        <v>-7.54</v>
      </c>
      <c r="AA284" s="4">
        <v>-99.72</v>
      </c>
      <c r="AB284" s="6">
        <v>0.99890000000000001</v>
      </c>
      <c r="AC284" s="7">
        <v>100</v>
      </c>
      <c r="AD284" s="3">
        <v>1</v>
      </c>
      <c r="AE284" s="6">
        <v>4.0000000000000001E-3</v>
      </c>
      <c r="AF284" s="6">
        <v>3.09E-2</v>
      </c>
      <c r="AG284" s="7">
        <v>0</v>
      </c>
      <c r="AH284" s="7">
        <v>0</v>
      </c>
      <c r="AI284" s="7">
        <v>9</v>
      </c>
      <c r="AJ284" s="6">
        <v>0.99970000000000003</v>
      </c>
      <c r="AK284" s="7">
        <v>789501600</v>
      </c>
      <c r="AL284" s="5">
        <v>25.021699999999999</v>
      </c>
      <c r="AM284" s="5">
        <v>131.60120000000001</v>
      </c>
      <c r="AN284" s="5">
        <v>660.41049999999996</v>
      </c>
    </row>
    <row r="285" spans="1:40" ht="16.5" x14ac:dyDescent="0.45">
      <c r="A285" s="1" t="s">
        <v>98</v>
      </c>
      <c r="B285" s="1" t="s">
        <v>99</v>
      </c>
      <c r="C285" s="1" t="s">
        <v>41</v>
      </c>
      <c r="D285" s="1" t="s">
        <v>50</v>
      </c>
      <c r="E285" s="1" t="s">
        <v>51</v>
      </c>
      <c r="F285" s="1" t="s">
        <v>50</v>
      </c>
      <c r="G285" s="1" t="s">
        <v>51</v>
      </c>
      <c r="H285" s="1" t="s">
        <v>52</v>
      </c>
      <c r="I285" s="1" t="s">
        <v>53</v>
      </c>
      <c r="J285" s="1">
        <f t="shared" si="4"/>
        <v>100</v>
      </c>
      <c r="K285" s="3">
        <v>1</v>
      </c>
      <c r="L285" s="4">
        <v>34.01</v>
      </c>
      <c r="M285" s="5">
        <v>5.0385999999999997</v>
      </c>
      <c r="N285">
        <v>99.41</v>
      </c>
      <c r="O285">
        <v>99.9</v>
      </c>
      <c r="P285" s="6">
        <v>0.999</v>
      </c>
      <c r="Q285" s="6">
        <v>0.999</v>
      </c>
      <c r="R285">
        <v>0.05</v>
      </c>
      <c r="S285">
        <v>6.9999999999999993E-2</v>
      </c>
      <c r="T285" s="7">
        <v>0</v>
      </c>
      <c r="U285" s="7">
        <v>0</v>
      </c>
      <c r="V285" s="7">
        <v>0</v>
      </c>
      <c r="W285" s="7">
        <v>0</v>
      </c>
      <c r="X285" s="3">
        <v>0.54</v>
      </c>
      <c r="Y285" s="6">
        <v>0.50160000000000005</v>
      </c>
      <c r="Z285" s="4">
        <v>-11.08</v>
      </c>
      <c r="AA285" s="4">
        <v>-93.66</v>
      </c>
      <c r="AB285" s="6">
        <v>0.99939999999999996</v>
      </c>
      <c r="AC285" s="7">
        <v>20</v>
      </c>
      <c r="AD285" s="3">
        <v>1</v>
      </c>
      <c r="AE285" s="6">
        <v>7.4000000000000003E-3</v>
      </c>
      <c r="AF285" s="6">
        <v>6.2100000000000002E-2</v>
      </c>
      <c r="AG285" s="7">
        <v>0</v>
      </c>
      <c r="AH285" s="7">
        <v>0</v>
      </c>
      <c r="AI285" s="7">
        <v>56</v>
      </c>
      <c r="AJ285" s="6">
        <v>0.99990000000000001</v>
      </c>
      <c r="AK285" s="7">
        <v>789501600</v>
      </c>
      <c r="AL285" s="5">
        <v>64.471800000000002</v>
      </c>
      <c r="AM285" s="5">
        <v>304.59280000000001</v>
      </c>
      <c r="AN285" s="5">
        <v>1104.9766999999999</v>
      </c>
    </row>
    <row r="286" spans="1:40" ht="16.5" x14ac:dyDescent="0.45">
      <c r="A286" s="1" t="s">
        <v>98</v>
      </c>
      <c r="B286" s="1" t="s">
        <v>99</v>
      </c>
      <c r="C286" s="1" t="s">
        <v>41</v>
      </c>
      <c r="D286" s="1" t="s">
        <v>50</v>
      </c>
      <c r="E286" s="1" t="s">
        <v>51</v>
      </c>
      <c r="F286" s="1" t="s">
        <v>50</v>
      </c>
      <c r="G286" s="1" t="s">
        <v>51</v>
      </c>
      <c r="H286" s="1" t="s">
        <v>54</v>
      </c>
      <c r="I286" s="1" t="s">
        <v>55</v>
      </c>
      <c r="J286" s="1">
        <f t="shared" si="4"/>
        <v>100</v>
      </c>
      <c r="K286" s="3">
        <v>1</v>
      </c>
      <c r="L286" s="4">
        <v>15.2</v>
      </c>
      <c r="M286" s="5">
        <v>4.0918999999999999</v>
      </c>
      <c r="N286">
        <v>99.89</v>
      </c>
      <c r="O286">
        <v>99.87</v>
      </c>
      <c r="P286" s="6">
        <v>0.99870000000000003</v>
      </c>
      <c r="Q286" s="6">
        <v>0.99880000000000002</v>
      </c>
      <c r="R286">
        <v>0</v>
      </c>
      <c r="S286">
        <v>0.05</v>
      </c>
      <c r="T286" s="7">
        <v>0</v>
      </c>
      <c r="U286" s="7">
        <v>0</v>
      </c>
      <c r="V286" s="7">
        <v>0</v>
      </c>
      <c r="W286" s="7">
        <v>0</v>
      </c>
      <c r="X286" s="6">
        <v>0.4284</v>
      </c>
      <c r="Y286" s="6">
        <v>0.22850000000000001</v>
      </c>
      <c r="Z286" s="4">
        <v>-9.01</v>
      </c>
      <c r="AA286" s="4">
        <v>-98.79</v>
      </c>
      <c r="AB286" s="6">
        <v>0.99950000000000006</v>
      </c>
      <c r="AD286" s="3">
        <v>1</v>
      </c>
      <c r="AE286" s="6">
        <v>6.7999999999999996E-3</v>
      </c>
      <c r="AF286" s="6">
        <v>4.4699999999999997E-2</v>
      </c>
      <c r="AG286" s="7">
        <v>0</v>
      </c>
      <c r="AH286" s="7">
        <v>0</v>
      </c>
      <c r="AI286" s="7">
        <v>33</v>
      </c>
      <c r="AJ286" s="3">
        <v>1</v>
      </c>
      <c r="AK286" s="7">
        <v>789501600</v>
      </c>
      <c r="AL286" s="5">
        <v>27.715</v>
      </c>
      <c r="AM286" s="5">
        <v>175.22710000000001</v>
      </c>
      <c r="AN286" s="5">
        <v>969.7278</v>
      </c>
    </row>
    <row r="287" spans="1:40" ht="16.5" x14ac:dyDescent="0.45">
      <c r="A287" s="1" t="s">
        <v>98</v>
      </c>
      <c r="B287" s="1" t="s">
        <v>99</v>
      </c>
      <c r="C287" s="1" t="s">
        <v>41</v>
      </c>
      <c r="D287" s="1" t="s">
        <v>50</v>
      </c>
      <c r="E287" s="1" t="s">
        <v>51</v>
      </c>
      <c r="F287" s="1" t="s">
        <v>50</v>
      </c>
      <c r="G287" s="1" t="s">
        <v>51</v>
      </c>
      <c r="H287" s="1" t="s">
        <v>56</v>
      </c>
      <c r="I287" s="1" t="s">
        <v>57</v>
      </c>
      <c r="J287" s="1">
        <f t="shared" si="4"/>
        <v>100</v>
      </c>
      <c r="K287" s="3">
        <v>1</v>
      </c>
      <c r="L287" s="4">
        <v>29.9</v>
      </c>
      <c r="M287" s="5">
        <v>4.1830999999999996</v>
      </c>
      <c r="N287">
        <v>99.78</v>
      </c>
      <c r="O287">
        <v>99.87</v>
      </c>
      <c r="P287" s="6">
        <v>0.99870000000000003</v>
      </c>
      <c r="Q287" s="6">
        <v>0.99880000000000002</v>
      </c>
      <c r="R287">
        <v>0</v>
      </c>
      <c r="S287">
        <v>0.05</v>
      </c>
      <c r="T287" s="7">
        <v>0</v>
      </c>
      <c r="U287" s="7">
        <v>0</v>
      </c>
      <c r="V287" s="7">
        <v>0</v>
      </c>
      <c r="W287" s="7">
        <v>0</v>
      </c>
      <c r="X287" s="6">
        <v>0.58919999999999995</v>
      </c>
      <c r="Y287" s="6">
        <v>0.3412</v>
      </c>
      <c r="Z287" s="4">
        <v>-9.89</v>
      </c>
      <c r="AA287" s="4">
        <v>-96.64</v>
      </c>
      <c r="AB287" s="6">
        <v>0.99929999999999997</v>
      </c>
      <c r="AD287" s="6">
        <v>0.96550000000000002</v>
      </c>
      <c r="AE287" s="6">
        <v>4.4000000000000003E-3</v>
      </c>
      <c r="AF287" s="6">
        <v>4.0599999999999997E-2</v>
      </c>
      <c r="AG287" s="7">
        <v>0</v>
      </c>
      <c r="AH287" s="7">
        <v>0</v>
      </c>
      <c r="AI287" s="7">
        <v>18</v>
      </c>
      <c r="AJ287" s="3">
        <v>1</v>
      </c>
      <c r="AK287" s="7">
        <v>789501600</v>
      </c>
      <c r="AL287" s="5">
        <v>36.365000000000002</v>
      </c>
      <c r="AM287" s="5">
        <v>194.7422</v>
      </c>
      <c r="AN287" s="5">
        <v>956.15219999999999</v>
      </c>
    </row>
    <row r="288" spans="1:40" ht="16.5" x14ac:dyDescent="0.45">
      <c r="A288" s="1" t="s">
        <v>98</v>
      </c>
      <c r="B288" s="1" t="s">
        <v>99</v>
      </c>
      <c r="C288" s="1" t="s">
        <v>41</v>
      </c>
      <c r="D288" s="1" t="s">
        <v>50</v>
      </c>
      <c r="E288" s="1" t="s">
        <v>51</v>
      </c>
      <c r="F288" s="1" t="s">
        <v>50</v>
      </c>
      <c r="G288" s="1" t="s">
        <v>51</v>
      </c>
      <c r="H288" s="1" t="s">
        <v>58</v>
      </c>
      <c r="I288" s="1" t="s">
        <v>59</v>
      </c>
      <c r="J288" s="1">
        <f t="shared" si="4"/>
        <v>95.94</v>
      </c>
      <c r="K288" s="6">
        <v>0.95940000000000003</v>
      </c>
      <c r="L288" s="4">
        <v>13.29</v>
      </c>
      <c r="M288" s="5">
        <v>4.5324999999999998</v>
      </c>
      <c r="N288">
        <v>99.72999999999999</v>
      </c>
      <c r="O288">
        <v>99.9</v>
      </c>
      <c r="P288" s="6">
        <v>0.999</v>
      </c>
      <c r="Q288" s="6">
        <v>0.999</v>
      </c>
      <c r="R288">
        <v>0.3</v>
      </c>
      <c r="S288">
        <v>0.03</v>
      </c>
      <c r="T288" s="7">
        <v>0</v>
      </c>
      <c r="U288" s="7">
        <v>0</v>
      </c>
      <c r="V288" s="7">
        <v>0</v>
      </c>
      <c r="W288" s="7">
        <v>0</v>
      </c>
      <c r="X288" s="6">
        <v>0.44790000000000002</v>
      </c>
      <c r="Y288" s="6">
        <v>0.3488</v>
      </c>
      <c r="Z288" s="4">
        <v>-9.0299999999999994</v>
      </c>
      <c r="AA288" s="4">
        <v>-100.64</v>
      </c>
      <c r="AB288" s="6">
        <v>0.99990000000000001</v>
      </c>
      <c r="AD288" s="3">
        <v>1</v>
      </c>
      <c r="AE288" s="6">
        <v>6.4999999999999997E-3</v>
      </c>
      <c r="AF288" s="6">
        <v>5.2600000000000001E-2</v>
      </c>
      <c r="AG288" s="7">
        <v>0</v>
      </c>
      <c r="AH288" s="7">
        <v>0</v>
      </c>
      <c r="AI288" s="7">
        <v>18</v>
      </c>
      <c r="AJ288" s="3">
        <v>1</v>
      </c>
      <c r="AK288" s="7">
        <v>789502478</v>
      </c>
      <c r="AL288" s="5">
        <v>30.335000000000001</v>
      </c>
      <c r="AM288" s="5">
        <v>188.92769999999999</v>
      </c>
      <c r="AN288" s="5">
        <v>1056.8652</v>
      </c>
    </row>
    <row r="289" spans="1:40" ht="16.5" x14ac:dyDescent="0.45">
      <c r="A289" s="1" t="s">
        <v>99</v>
      </c>
      <c r="B289" s="1" t="s">
        <v>100</v>
      </c>
      <c r="C289" s="1" t="s">
        <v>41</v>
      </c>
      <c r="D289" s="1" t="s">
        <v>42</v>
      </c>
      <c r="E289" s="1" t="s">
        <v>43</v>
      </c>
      <c r="F289" s="1" t="s">
        <v>42</v>
      </c>
      <c r="G289" s="1" t="s">
        <v>43</v>
      </c>
      <c r="H289" s="1" t="s">
        <v>44</v>
      </c>
      <c r="I289" s="1" t="s">
        <v>45</v>
      </c>
      <c r="J289" s="1">
        <f t="shared" si="4"/>
        <v>100</v>
      </c>
      <c r="K289" s="3">
        <v>1</v>
      </c>
      <c r="L289" s="4">
        <v>9.26</v>
      </c>
      <c r="M289" s="5">
        <v>3.8128000000000002</v>
      </c>
      <c r="N289">
        <v>99.6</v>
      </c>
      <c r="O289">
        <v>99.929999999999993</v>
      </c>
      <c r="P289" s="6">
        <v>0.99929999999999997</v>
      </c>
      <c r="Q289" s="6">
        <v>0.99929999999999997</v>
      </c>
      <c r="R289">
        <v>0</v>
      </c>
      <c r="S289">
        <v>0.02</v>
      </c>
      <c r="T289" s="7">
        <v>0</v>
      </c>
      <c r="U289" s="7">
        <v>0</v>
      </c>
      <c r="V289" s="7">
        <v>0</v>
      </c>
      <c r="W289" s="7">
        <v>0</v>
      </c>
      <c r="X289" s="6">
        <v>0.26069999999999999</v>
      </c>
      <c r="Y289" s="6">
        <v>0.13650000000000001</v>
      </c>
      <c r="Z289" s="4">
        <v>-7.58</v>
      </c>
      <c r="AA289" s="4">
        <v>-100.3</v>
      </c>
      <c r="AB289" s="6">
        <v>0.99990000000000001</v>
      </c>
      <c r="AD289" s="3">
        <v>1</v>
      </c>
      <c r="AE289" s="6">
        <v>3.5999999999999999E-3</v>
      </c>
      <c r="AF289" s="6">
        <v>4.0500000000000001E-2</v>
      </c>
      <c r="AG289" s="7">
        <v>0</v>
      </c>
      <c r="AH289" s="7">
        <v>0</v>
      </c>
      <c r="AI289" s="7">
        <v>10</v>
      </c>
      <c r="AJ289" s="6">
        <v>0.99970000000000003</v>
      </c>
      <c r="AK289" s="7">
        <v>789501600</v>
      </c>
      <c r="AL289" s="5">
        <v>23.89</v>
      </c>
      <c r="AM289" s="5">
        <v>265.45949999999999</v>
      </c>
      <c r="AN289" s="5">
        <v>786.54830000000004</v>
      </c>
    </row>
    <row r="290" spans="1:40" ht="16.5" x14ac:dyDescent="0.45">
      <c r="A290" s="1" t="s">
        <v>99</v>
      </c>
      <c r="B290" s="1" t="s">
        <v>100</v>
      </c>
      <c r="C290" s="1" t="s">
        <v>41</v>
      </c>
      <c r="D290" s="1" t="s">
        <v>42</v>
      </c>
      <c r="E290" s="1" t="s">
        <v>43</v>
      </c>
      <c r="F290" s="1" t="s">
        <v>42</v>
      </c>
      <c r="G290" s="1" t="s">
        <v>43</v>
      </c>
      <c r="H290" s="1" t="s">
        <v>46</v>
      </c>
      <c r="I290" s="1" t="s">
        <v>47</v>
      </c>
      <c r="J290" s="1">
        <f t="shared" si="4"/>
        <v>100</v>
      </c>
      <c r="K290" s="3">
        <v>1</v>
      </c>
      <c r="L290" s="4">
        <v>9.19</v>
      </c>
      <c r="M290" s="5">
        <v>1.6420999999999999</v>
      </c>
      <c r="N290">
        <v>100</v>
      </c>
      <c r="O290">
        <v>99.78</v>
      </c>
      <c r="P290" s="6">
        <v>0.99780000000000002</v>
      </c>
      <c r="Q290" s="6">
        <v>0.99790000000000001</v>
      </c>
      <c r="R290">
        <v>0</v>
      </c>
      <c r="S290">
        <v>0.09</v>
      </c>
      <c r="T290" s="7">
        <v>0</v>
      </c>
      <c r="U290" s="7">
        <v>0</v>
      </c>
      <c r="V290" s="7">
        <v>0</v>
      </c>
      <c r="W290" s="7">
        <v>0</v>
      </c>
      <c r="X290" s="6">
        <v>0.16520000000000001</v>
      </c>
      <c r="Y290" s="6">
        <v>8.7900000000000006E-2</v>
      </c>
      <c r="Z290" s="4">
        <v>-6.44</v>
      </c>
      <c r="AA290" s="4">
        <v>-102.07</v>
      </c>
      <c r="AB290" s="6">
        <v>0.99980000000000002</v>
      </c>
      <c r="AD290" s="3">
        <v>1</v>
      </c>
      <c r="AE290" s="6">
        <v>2.3999999999999998E-3</v>
      </c>
      <c r="AF290" s="6">
        <v>1.9400000000000001E-2</v>
      </c>
      <c r="AG290" s="7">
        <v>0</v>
      </c>
      <c r="AH290" s="7">
        <v>0</v>
      </c>
      <c r="AI290" s="7">
        <v>23</v>
      </c>
      <c r="AJ290" s="6">
        <v>0.99970000000000003</v>
      </c>
      <c r="AK290" s="7">
        <v>789501600</v>
      </c>
      <c r="AL290" s="5">
        <v>16.353300000000001</v>
      </c>
      <c r="AM290" s="5">
        <v>115.01739999999999</v>
      </c>
      <c r="AN290" s="5">
        <v>337.98840000000001</v>
      </c>
    </row>
    <row r="291" spans="1:40" ht="16.5" x14ac:dyDescent="0.45">
      <c r="A291" s="1" t="s">
        <v>99</v>
      </c>
      <c r="B291" s="1" t="s">
        <v>100</v>
      </c>
      <c r="C291" s="1" t="s">
        <v>41</v>
      </c>
      <c r="D291" s="1" t="s">
        <v>42</v>
      </c>
      <c r="E291" s="1" t="s">
        <v>43</v>
      </c>
      <c r="F291" s="1" t="s">
        <v>42</v>
      </c>
      <c r="G291" s="1" t="s">
        <v>43</v>
      </c>
      <c r="H291" s="1" t="s">
        <v>48</v>
      </c>
      <c r="I291" s="1" t="s">
        <v>49</v>
      </c>
      <c r="J291" s="1">
        <f t="shared" si="4"/>
        <v>100</v>
      </c>
      <c r="K291" s="3">
        <v>1</v>
      </c>
      <c r="L291" s="4">
        <v>7.06</v>
      </c>
      <c r="M291" s="5">
        <v>1.8694999999999999</v>
      </c>
      <c r="N291">
        <v>99.5</v>
      </c>
      <c r="O291">
        <v>99.91</v>
      </c>
      <c r="P291" s="6">
        <v>0.99909999999999999</v>
      </c>
      <c r="Q291" s="6">
        <v>0.99909999999999999</v>
      </c>
      <c r="R291">
        <v>0</v>
      </c>
      <c r="S291">
        <v>0.02</v>
      </c>
      <c r="T291" s="7">
        <v>0</v>
      </c>
      <c r="U291" s="7">
        <v>0</v>
      </c>
      <c r="V291" s="7">
        <v>0</v>
      </c>
      <c r="W291" s="7">
        <v>0</v>
      </c>
      <c r="X291" s="6">
        <v>0.2218</v>
      </c>
      <c r="Y291" s="6">
        <v>0.12870000000000001</v>
      </c>
      <c r="Z291" s="4">
        <v>-6.1</v>
      </c>
      <c r="AA291" s="4">
        <v>-100.5</v>
      </c>
      <c r="AB291" s="6">
        <v>0.99950000000000006</v>
      </c>
      <c r="AC291" s="7">
        <v>100</v>
      </c>
      <c r="AD291" s="3">
        <v>0.9</v>
      </c>
      <c r="AE291" s="6">
        <v>5.0000000000000001E-3</v>
      </c>
      <c r="AF291" s="6">
        <v>4.2000000000000003E-2</v>
      </c>
      <c r="AG291" s="7">
        <v>0</v>
      </c>
      <c r="AH291" s="7">
        <v>0</v>
      </c>
      <c r="AI291" s="7">
        <v>14</v>
      </c>
      <c r="AJ291" s="3">
        <v>1</v>
      </c>
      <c r="AK291" s="7">
        <v>789501600</v>
      </c>
      <c r="AL291" s="5">
        <v>19.031600000000001</v>
      </c>
      <c r="AM291" s="5">
        <v>64.025199999999998</v>
      </c>
      <c r="AN291" s="5">
        <v>455.67849999999999</v>
      </c>
    </row>
    <row r="292" spans="1:40" ht="16.5" x14ac:dyDescent="0.45">
      <c r="A292" s="1" t="s">
        <v>99</v>
      </c>
      <c r="B292" s="1" t="s">
        <v>100</v>
      </c>
      <c r="C292" s="1" t="s">
        <v>41</v>
      </c>
      <c r="D292" s="1" t="s">
        <v>50</v>
      </c>
      <c r="E292" s="1" t="s">
        <v>51</v>
      </c>
      <c r="F292" s="1" t="s">
        <v>50</v>
      </c>
      <c r="G292" s="1" t="s">
        <v>51</v>
      </c>
      <c r="H292" s="1" t="s">
        <v>52</v>
      </c>
      <c r="I292" s="1" t="s">
        <v>53</v>
      </c>
      <c r="J292" s="1">
        <f t="shared" si="4"/>
        <v>100</v>
      </c>
      <c r="K292" s="3">
        <v>1</v>
      </c>
      <c r="L292" s="4">
        <v>17.260000000000002</v>
      </c>
      <c r="M292" s="5">
        <v>3.6434000000000002</v>
      </c>
      <c r="N292">
        <v>99.82</v>
      </c>
      <c r="O292">
        <v>99.9</v>
      </c>
      <c r="P292" s="6">
        <v>0.999</v>
      </c>
      <c r="Q292" s="6">
        <v>0.999</v>
      </c>
      <c r="R292">
        <v>6.9999999999999993E-2</v>
      </c>
      <c r="S292">
        <v>0.06</v>
      </c>
      <c r="T292" s="7">
        <v>0</v>
      </c>
      <c r="U292" s="7">
        <v>0</v>
      </c>
      <c r="V292" s="7">
        <v>0</v>
      </c>
      <c r="W292" s="7">
        <v>0</v>
      </c>
      <c r="X292" s="6">
        <v>0.373</v>
      </c>
      <c r="Y292" s="6">
        <v>0.4325</v>
      </c>
      <c r="Z292" s="4">
        <v>-9.75</v>
      </c>
      <c r="AA292" s="4">
        <v>-95.35</v>
      </c>
      <c r="AB292" s="6">
        <v>0.99919999999999998</v>
      </c>
      <c r="AD292" s="3">
        <v>1</v>
      </c>
      <c r="AE292" s="6">
        <v>8.0000000000000002E-3</v>
      </c>
      <c r="AF292" s="6">
        <v>7.0400000000000004E-2</v>
      </c>
      <c r="AG292" s="7">
        <v>0</v>
      </c>
      <c r="AH292" s="7">
        <v>0</v>
      </c>
      <c r="AI292" s="7">
        <v>48</v>
      </c>
      <c r="AJ292" s="3">
        <v>1</v>
      </c>
      <c r="AK292" s="7">
        <v>789501600</v>
      </c>
      <c r="AL292" s="5">
        <v>45.646700000000003</v>
      </c>
      <c r="AM292" s="5">
        <v>227.3442</v>
      </c>
      <c r="AN292" s="5">
        <v>790.83280000000002</v>
      </c>
    </row>
    <row r="293" spans="1:40" ht="16.5" x14ac:dyDescent="0.45">
      <c r="A293" s="1" t="s">
        <v>99</v>
      </c>
      <c r="B293" s="1" t="s">
        <v>100</v>
      </c>
      <c r="C293" s="1" t="s">
        <v>41</v>
      </c>
      <c r="D293" s="1" t="s">
        <v>50</v>
      </c>
      <c r="E293" s="1" t="s">
        <v>51</v>
      </c>
      <c r="F293" s="1" t="s">
        <v>50</v>
      </c>
      <c r="G293" s="1" t="s">
        <v>51</v>
      </c>
      <c r="H293" s="1" t="s">
        <v>54</v>
      </c>
      <c r="I293" s="1" t="s">
        <v>55</v>
      </c>
      <c r="J293" s="1">
        <f t="shared" si="4"/>
        <v>100</v>
      </c>
      <c r="K293" s="3">
        <v>1</v>
      </c>
      <c r="L293" s="4">
        <v>7.87</v>
      </c>
      <c r="M293" s="5">
        <v>3.1253000000000002</v>
      </c>
      <c r="N293">
        <v>99.83</v>
      </c>
      <c r="O293">
        <v>99.78</v>
      </c>
      <c r="P293" s="6">
        <v>0.99780000000000002</v>
      </c>
      <c r="Q293" s="6">
        <v>0.99780000000000002</v>
      </c>
      <c r="R293">
        <v>0</v>
      </c>
      <c r="S293">
        <v>0.03</v>
      </c>
      <c r="T293" s="7">
        <v>0</v>
      </c>
      <c r="U293" s="7">
        <v>0</v>
      </c>
      <c r="V293" s="7">
        <v>0</v>
      </c>
      <c r="W293" s="7">
        <v>0</v>
      </c>
      <c r="X293" s="6">
        <v>0.33139999999999997</v>
      </c>
      <c r="Y293" s="6">
        <v>0.1893</v>
      </c>
      <c r="Z293" s="4">
        <v>-8.14</v>
      </c>
      <c r="AA293" s="4">
        <v>-100.23</v>
      </c>
      <c r="AB293" s="6">
        <v>0.99929999999999997</v>
      </c>
      <c r="AD293" s="3">
        <v>1</v>
      </c>
      <c r="AE293" s="6">
        <v>6.4999999999999997E-3</v>
      </c>
      <c r="AF293" s="6">
        <v>4.4200000000000003E-2</v>
      </c>
      <c r="AG293" s="7">
        <v>0</v>
      </c>
      <c r="AH293" s="7">
        <v>0</v>
      </c>
      <c r="AI293" s="7">
        <v>22</v>
      </c>
      <c r="AJ293" s="3">
        <v>1</v>
      </c>
      <c r="AK293" s="7">
        <v>789501600</v>
      </c>
      <c r="AL293" s="5">
        <v>21.761800000000001</v>
      </c>
      <c r="AM293" s="5">
        <v>100.7949</v>
      </c>
      <c r="AN293" s="5">
        <v>772.36360000000002</v>
      </c>
    </row>
    <row r="294" spans="1:40" ht="16.5" x14ac:dyDescent="0.45">
      <c r="A294" s="1" t="s">
        <v>99</v>
      </c>
      <c r="B294" s="1" t="s">
        <v>100</v>
      </c>
      <c r="C294" s="1" t="s">
        <v>41</v>
      </c>
      <c r="D294" s="1" t="s">
        <v>50</v>
      </c>
      <c r="E294" s="1" t="s">
        <v>51</v>
      </c>
      <c r="F294" s="1" t="s">
        <v>50</v>
      </c>
      <c r="G294" s="1" t="s">
        <v>51</v>
      </c>
      <c r="H294" s="1" t="s">
        <v>56</v>
      </c>
      <c r="I294" s="1" t="s">
        <v>57</v>
      </c>
      <c r="J294" s="1">
        <f t="shared" si="4"/>
        <v>100</v>
      </c>
      <c r="K294" s="3">
        <v>1</v>
      </c>
      <c r="L294" s="4">
        <v>14.98</v>
      </c>
      <c r="M294" s="5">
        <v>3.1617999999999999</v>
      </c>
      <c r="N294">
        <v>99.76</v>
      </c>
      <c r="O294">
        <v>99.76</v>
      </c>
      <c r="P294" s="6">
        <v>0.99760000000000004</v>
      </c>
      <c r="Q294" s="6">
        <v>0.99760000000000004</v>
      </c>
      <c r="R294">
        <v>0</v>
      </c>
      <c r="S294">
        <v>0.06</v>
      </c>
      <c r="T294" s="7">
        <v>0</v>
      </c>
      <c r="U294" s="7">
        <v>0</v>
      </c>
      <c r="V294" s="7">
        <v>0</v>
      </c>
      <c r="W294" s="7">
        <v>0</v>
      </c>
      <c r="X294" s="6">
        <v>0.36009999999999998</v>
      </c>
      <c r="Y294" s="6">
        <v>0.28760000000000002</v>
      </c>
      <c r="Z294" s="4">
        <v>-7.69</v>
      </c>
      <c r="AA294" s="4">
        <v>-97.72</v>
      </c>
      <c r="AB294" s="6">
        <v>0.99929999999999997</v>
      </c>
      <c r="AD294" s="3">
        <v>1</v>
      </c>
      <c r="AE294" s="6">
        <v>4.7999999999999996E-3</v>
      </c>
      <c r="AF294" s="6">
        <v>3.32E-2</v>
      </c>
      <c r="AG294" s="7">
        <v>0</v>
      </c>
      <c r="AH294" s="7">
        <v>0</v>
      </c>
      <c r="AI294" s="7">
        <v>16</v>
      </c>
      <c r="AJ294" s="3">
        <v>1</v>
      </c>
      <c r="AK294" s="7">
        <v>789501600</v>
      </c>
      <c r="AL294" s="5">
        <v>27.7883</v>
      </c>
      <c r="AM294" s="5">
        <v>225.07689999999999</v>
      </c>
      <c r="AN294" s="5">
        <v>639.73479999999995</v>
      </c>
    </row>
    <row r="295" spans="1:40" ht="16.5" x14ac:dyDescent="0.45">
      <c r="A295" s="1" t="s">
        <v>99</v>
      </c>
      <c r="B295" s="1" t="s">
        <v>100</v>
      </c>
      <c r="C295" s="1" t="s">
        <v>41</v>
      </c>
      <c r="D295" s="1" t="s">
        <v>50</v>
      </c>
      <c r="E295" s="1" t="s">
        <v>51</v>
      </c>
      <c r="F295" s="1" t="s">
        <v>50</v>
      </c>
      <c r="G295" s="1" t="s">
        <v>51</v>
      </c>
      <c r="H295" s="1" t="s">
        <v>58</v>
      </c>
      <c r="I295" s="1" t="s">
        <v>59</v>
      </c>
      <c r="J295" s="1">
        <f t="shared" si="4"/>
        <v>100</v>
      </c>
      <c r="K295" s="3">
        <v>1</v>
      </c>
      <c r="L295" s="4">
        <v>7.91</v>
      </c>
      <c r="M295" s="5">
        <v>4.0518999999999998</v>
      </c>
      <c r="N295">
        <v>100</v>
      </c>
      <c r="O295">
        <v>99.92</v>
      </c>
      <c r="P295" s="6">
        <v>0.99919999999999998</v>
      </c>
      <c r="Q295" s="6">
        <v>0.99919999999999998</v>
      </c>
      <c r="R295">
        <v>0.22</v>
      </c>
      <c r="S295">
        <v>0.02</v>
      </c>
      <c r="T295" s="7">
        <v>0</v>
      </c>
      <c r="U295" s="7">
        <v>0</v>
      </c>
      <c r="V295" s="7">
        <v>0</v>
      </c>
      <c r="W295" s="7">
        <v>0</v>
      </c>
      <c r="X295" s="6">
        <v>0.31169999999999998</v>
      </c>
      <c r="Y295" s="6">
        <v>0.31430000000000002</v>
      </c>
      <c r="Z295" s="4">
        <v>-6.98</v>
      </c>
      <c r="AA295" s="4">
        <v>-101.19</v>
      </c>
      <c r="AB295" s="6">
        <v>0.99950000000000006</v>
      </c>
      <c r="AD295" s="3">
        <v>0.9</v>
      </c>
      <c r="AE295" s="6">
        <v>4.8999999999999998E-3</v>
      </c>
      <c r="AF295" s="6">
        <v>3.56E-2</v>
      </c>
      <c r="AG295" s="7">
        <v>0</v>
      </c>
      <c r="AH295" s="7">
        <v>0</v>
      </c>
      <c r="AI295" s="7">
        <v>9</v>
      </c>
      <c r="AJ295" s="3">
        <v>1</v>
      </c>
      <c r="AK295" s="7">
        <v>789501600</v>
      </c>
      <c r="AL295" s="5">
        <v>26.191700000000001</v>
      </c>
      <c r="AM295" s="5">
        <v>133.40100000000001</v>
      </c>
      <c r="AN295" s="5">
        <v>1002.7624</v>
      </c>
    </row>
    <row r="296" spans="1:40" ht="16.5" x14ac:dyDescent="0.45">
      <c r="A296" s="1" t="s">
        <v>100</v>
      </c>
      <c r="B296" s="1" t="s">
        <v>101</v>
      </c>
      <c r="C296" s="1" t="s">
        <v>41</v>
      </c>
      <c r="D296" s="1" t="s">
        <v>42</v>
      </c>
      <c r="E296" s="1" t="s">
        <v>43</v>
      </c>
      <c r="F296" s="1" t="s">
        <v>42</v>
      </c>
      <c r="G296" s="1" t="s">
        <v>43</v>
      </c>
      <c r="H296" s="1" t="s">
        <v>44</v>
      </c>
      <c r="I296" s="1" t="s">
        <v>45</v>
      </c>
      <c r="J296" s="1">
        <f t="shared" si="4"/>
        <v>100</v>
      </c>
      <c r="K296" s="3">
        <v>1</v>
      </c>
      <c r="L296" s="4">
        <v>6.45</v>
      </c>
      <c r="M296" s="5">
        <v>2.9110999999999998</v>
      </c>
      <c r="N296">
        <v>100</v>
      </c>
      <c r="O296">
        <v>99.960000000000008</v>
      </c>
      <c r="P296" s="6">
        <v>0.99960000000000004</v>
      </c>
      <c r="Q296" s="6">
        <v>0.99970000000000003</v>
      </c>
      <c r="R296">
        <v>0</v>
      </c>
      <c r="S296">
        <v>0.03</v>
      </c>
      <c r="T296" s="7">
        <v>0</v>
      </c>
      <c r="U296" s="7">
        <v>0</v>
      </c>
      <c r="V296" s="7">
        <v>0</v>
      </c>
      <c r="W296" s="7">
        <v>0</v>
      </c>
      <c r="X296" s="6">
        <v>0.2051</v>
      </c>
      <c r="Y296" s="6">
        <v>9.6699999999999994E-2</v>
      </c>
      <c r="Z296" s="4">
        <v>-6.33</v>
      </c>
      <c r="AA296" s="4">
        <v>-101.42</v>
      </c>
      <c r="AB296" s="6">
        <v>0.99960000000000004</v>
      </c>
      <c r="AD296" s="6">
        <v>0.66669999999999996</v>
      </c>
      <c r="AE296" s="6">
        <v>3.2000000000000002E-3</v>
      </c>
      <c r="AF296" s="6">
        <v>2.46E-2</v>
      </c>
      <c r="AG296" s="7">
        <v>0</v>
      </c>
      <c r="AH296" s="7">
        <v>0</v>
      </c>
      <c r="AI296" s="7">
        <v>3</v>
      </c>
      <c r="AJ296" s="6">
        <v>0.99990000000000001</v>
      </c>
      <c r="AK296" s="7">
        <v>789501600</v>
      </c>
      <c r="AL296" s="5">
        <v>16.754999999999999</v>
      </c>
      <c r="AM296" s="5">
        <v>101.9241</v>
      </c>
      <c r="AN296" s="5">
        <v>707.27959999999996</v>
      </c>
    </row>
    <row r="297" spans="1:40" ht="16.5" x14ac:dyDescent="0.45">
      <c r="A297" s="1" t="s">
        <v>100</v>
      </c>
      <c r="B297" s="1" t="s">
        <v>101</v>
      </c>
      <c r="C297" s="1" t="s">
        <v>41</v>
      </c>
      <c r="D297" s="1" t="s">
        <v>42</v>
      </c>
      <c r="E297" s="1" t="s">
        <v>43</v>
      </c>
      <c r="F297" s="1" t="s">
        <v>42</v>
      </c>
      <c r="G297" s="1" t="s">
        <v>43</v>
      </c>
      <c r="H297" s="1" t="s">
        <v>46</v>
      </c>
      <c r="I297" s="1" t="s">
        <v>47</v>
      </c>
      <c r="J297" s="1">
        <f t="shared" si="4"/>
        <v>100</v>
      </c>
      <c r="K297" s="3">
        <v>1</v>
      </c>
      <c r="L297" s="4">
        <v>4.2300000000000004</v>
      </c>
      <c r="M297" s="5">
        <v>1.1728000000000001</v>
      </c>
      <c r="N297">
        <v>100</v>
      </c>
      <c r="O297">
        <v>99.92</v>
      </c>
      <c r="P297" s="6">
        <v>0.99919999999999998</v>
      </c>
      <c r="Q297" s="6">
        <v>0.99919999999999998</v>
      </c>
      <c r="R297">
        <v>0</v>
      </c>
      <c r="S297">
        <v>0.05</v>
      </c>
      <c r="T297" s="7">
        <v>0</v>
      </c>
      <c r="U297" s="7">
        <v>0</v>
      </c>
      <c r="V297" s="7">
        <v>0</v>
      </c>
      <c r="W297" s="7">
        <v>0</v>
      </c>
      <c r="X297" s="6">
        <v>0.1181</v>
      </c>
      <c r="Y297" s="6">
        <v>9.2999999999999999E-2</v>
      </c>
      <c r="Z297" s="4">
        <v>-4.8600000000000003</v>
      </c>
      <c r="AA297" s="4">
        <v>-103.05</v>
      </c>
      <c r="AB297" s="6">
        <v>0.99970000000000003</v>
      </c>
      <c r="AD297" s="3">
        <v>0</v>
      </c>
      <c r="AE297" s="6">
        <v>4.0000000000000001E-3</v>
      </c>
      <c r="AF297" s="6">
        <v>3.3300000000000003E-2</v>
      </c>
      <c r="AG297" s="7">
        <v>0</v>
      </c>
      <c r="AH297" s="7">
        <v>0</v>
      </c>
      <c r="AI297" s="7">
        <v>13</v>
      </c>
      <c r="AJ297" s="6">
        <v>0.99980000000000002</v>
      </c>
      <c r="AK297" s="7">
        <v>789501600</v>
      </c>
      <c r="AL297" s="5">
        <v>14.808299999999999</v>
      </c>
      <c r="AM297" s="5">
        <v>46.9801</v>
      </c>
      <c r="AN297" s="5">
        <v>283.01100000000002</v>
      </c>
    </row>
    <row r="298" spans="1:40" ht="16.5" x14ac:dyDescent="0.45">
      <c r="A298" s="1" t="s">
        <v>100</v>
      </c>
      <c r="B298" s="1" t="s">
        <v>101</v>
      </c>
      <c r="C298" s="1" t="s">
        <v>41</v>
      </c>
      <c r="D298" s="1" t="s">
        <v>42</v>
      </c>
      <c r="E298" s="1" t="s">
        <v>43</v>
      </c>
      <c r="F298" s="1" t="s">
        <v>42</v>
      </c>
      <c r="G298" s="1" t="s">
        <v>43</v>
      </c>
      <c r="H298" s="1" t="s">
        <v>48</v>
      </c>
      <c r="I298" s="1" t="s">
        <v>49</v>
      </c>
      <c r="J298" s="1">
        <f t="shared" si="4"/>
        <v>100</v>
      </c>
      <c r="K298" s="3">
        <v>1</v>
      </c>
      <c r="L298" s="4">
        <v>5.31</v>
      </c>
      <c r="M298" s="5">
        <v>1.0032000000000001</v>
      </c>
      <c r="N298">
        <v>100</v>
      </c>
      <c r="O298">
        <v>99.95</v>
      </c>
      <c r="P298" s="6">
        <v>0.99950000000000006</v>
      </c>
      <c r="Q298" s="6">
        <v>0.99950000000000006</v>
      </c>
      <c r="R298">
        <v>0</v>
      </c>
      <c r="S298">
        <v>0.02</v>
      </c>
      <c r="T298" s="7">
        <v>0</v>
      </c>
      <c r="U298" s="7">
        <v>0</v>
      </c>
      <c r="V298" s="7">
        <v>0</v>
      </c>
      <c r="W298" s="7">
        <v>0</v>
      </c>
      <c r="X298" s="6">
        <v>0.14180000000000001</v>
      </c>
      <c r="Y298" s="6">
        <v>0.12330000000000001</v>
      </c>
      <c r="Z298" s="7">
        <v>-5</v>
      </c>
      <c r="AA298" s="4">
        <v>-100.99</v>
      </c>
      <c r="AB298" s="6">
        <v>0.99980000000000002</v>
      </c>
      <c r="AD298" s="3">
        <v>1</v>
      </c>
      <c r="AE298" s="6">
        <v>2.3E-3</v>
      </c>
      <c r="AF298" s="6">
        <v>1.6E-2</v>
      </c>
      <c r="AG298" s="7">
        <v>0</v>
      </c>
      <c r="AH298" s="7">
        <v>0</v>
      </c>
      <c r="AI298" s="7">
        <v>5</v>
      </c>
      <c r="AJ298" s="3">
        <v>1</v>
      </c>
      <c r="AK298" s="7">
        <v>789501600</v>
      </c>
      <c r="AL298" s="5">
        <v>15.7234</v>
      </c>
      <c r="AM298" s="5">
        <v>65.980400000000003</v>
      </c>
      <c r="AN298" s="5">
        <v>215.8329</v>
      </c>
    </row>
    <row r="299" spans="1:40" ht="16.5" x14ac:dyDescent="0.45">
      <c r="A299" s="1" t="s">
        <v>100</v>
      </c>
      <c r="B299" s="1" t="s">
        <v>101</v>
      </c>
      <c r="C299" s="1" t="s">
        <v>41</v>
      </c>
      <c r="D299" s="1" t="s">
        <v>50</v>
      </c>
      <c r="E299" s="1" t="s">
        <v>51</v>
      </c>
      <c r="F299" s="1" t="s">
        <v>50</v>
      </c>
      <c r="G299" s="1" t="s">
        <v>51</v>
      </c>
      <c r="H299" s="1" t="s">
        <v>52</v>
      </c>
      <c r="I299" s="1" t="s">
        <v>53</v>
      </c>
      <c r="J299" s="1">
        <f t="shared" si="4"/>
        <v>100</v>
      </c>
      <c r="K299" s="3">
        <v>1</v>
      </c>
      <c r="L299" s="4">
        <v>10.32</v>
      </c>
      <c r="M299" s="5">
        <v>2.0754000000000001</v>
      </c>
      <c r="N299">
        <v>99.7</v>
      </c>
      <c r="O299">
        <v>99.86</v>
      </c>
      <c r="P299" s="6">
        <v>0.99850000000000005</v>
      </c>
      <c r="Q299" s="6">
        <v>0.99860000000000004</v>
      </c>
      <c r="R299">
        <v>0</v>
      </c>
      <c r="S299">
        <v>0.02</v>
      </c>
      <c r="T299" s="7">
        <v>0</v>
      </c>
      <c r="U299" s="7">
        <v>0</v>
      </c>
      <c r="V299" s="7">
        <v>0</v>
      </c>
      <c r="W299" s="7">
        <v>0</v>
      </c>
      <c r="X299" s="6">
        <v>0.24809999999999999</v>
      </c>
      <c r="Y299" s="6">
        <v>0.35599999999999998</v>
      </c>
      <c r="Z299" s="4">
        <v>-8.5500000000000007</v>
      </c>
      <c r="AA299" s="4">
        <v>-96.1</v>
      </c>
      <c r="AB299" s="6">
        <v>0.99960000000000004</v>
      </c>
      <c r="AD299" s="3">
        <v>1</v>
      </c>
      <c r="AE299" s="6">
        <v>8.0000000000000002E-3</v>
      </c>
      <c r="AF299" s="6">
        <v>5.2200000000000003E-2</v>
      </c>
      <c r="AG299" s="7">
        <v>0</v>
      </c>
      <c r="AH299" s="7">
        <v>0</v>
      </c>
      <c r="AI299" s="7">
        <v>29</v>
      </c>
      <c r="AJ299" s="3">
        <v>1</v>
      </c>
      <c r="AK299" s="7">
        <v>789501600</v>
      </c>
      <c r="AL299" s="5">
        <v>36.181699999999999</v>
      </c>
      <c r="AM299" s="5">
        <v>169.28870000000001</v>
      </c>
      <c r="AN299" s="5">
        <v>409.7722</v>
      </c>
    </row>
    <row r="300" spans="1:40" ht="16.5" x14ac:dyDescent="0.45">
      <c r="A300" s="1" t="s">
        <v>100</v>
      </c>
      <c r="B300" s="1" t="s">
        <v>101</v>
      </c>
      <c r="C300" s="1" t="s">
        <v>41</v>
      </c>
      <c r="D300" s="1" t="s">
        <v>50</v>
      </c>
      <c r="E300" s="1" t="s">
        <v>51</v>
      </c>
      <c r="F300" s="1" t="s">
        <v>50</v>
      </c>
      <c r="G300" s="1" t="s">
        <v>51</v>
      </c>
      <c r="H300" s="1" t="s">
        <v>54</v>
      </c>
      <c r="I300" s="1" t="s">
        <v>55</v>
      </c>
      <c r="J300" s="1">
        <f t="shared" si="4"/>
        <v>100</v>
      </c>
      <c r="K300" s="3">
        <v>1</v>
      </c>
      <c r="L300" s="4">
        <v>3.2</v>
      </c>
      <c r="M300" s="5">
        <v>1.2884</v>
      </c>
      <c r="N300">
        <v>99.45</v>
      </c>
      <c r="O300">
        <v>99.91</v>
      </c>
      <c r="P300" s="6">
        <v>0.99909999999999999</v>
      </c>
      <c r="Q300" s="6">
        <v>0.99909999999999999</v>
      </c>
      <c r="R300">
        <v>0</v>
      </c>
      <c r="S300">
        <v>0.05</v>
      </c>
      <c r="T300" s="7">
        <v>0</v>
      </c>
      <c r="U300" s="7">
        <v>0</v>
      </c>
      <c r="V300" s="7">
        <v>0</v>
      </c>
      <c r="W300" s="7">
        <v>0</v>
      </c>
      <c r="X300" s="6">
        <v>0.21560000000000001</v>
      </c>
      <c r="Y300" s="6">
        <v>0.19120000000000001</v>
      </c>
      <c r="Z300" s="4">
        <v>-6.86</v>
      </c>
      <c r="AA300" s="4">
        <v>-101.07</v>
      </c>
      <c r="AB300" s="6">
        <v>0.99939999999999996</v>
      </c>
      <c r="AD300" s="3">
        <v>1</v>
      </c>
      <c r="AE300" s="6">
        <v>8.8000000000000005E-3</v>
      </c>
      <c r="AF300" s="6">
        <v>5.62E-2</v>
      </c>
      <c r="AG300" s="7">
        <v>0</v>
      </c>
      <c r="AH300" s="7">
        <v>0</v>
      </c>
      <c r="AI300" s="7">
        <v>16</v>
      </c>
      <c r="AJ300" s="3">
        <v>1</v>
      </c>
      <c r="AK300" s="7">
        <v>789501600</v>
      </c>
      <c r="AL300" s="5">
        <v>19.344999999999999</v>
      </c>
      <c r="AM300" s="5">
        <v>68.825199999999995</v>
      </c>
      <c r="AN300" s="5">
        <v>291.77249999999998</v>
      </c>
    </row>
    <row r="301" spans="1:40" ht="16.5" x14ac:dyDescent="0.45">
      <c r="A301" s="1" t="s">
        <v>100</v>
      </c>
      <c r="B301" s="1" t="s">
        <v>101</v>
      </c>
      <c r="C301" s="1" t="s">
        <v>41</v>
      </c>
      <c r="D301" s="1" t="s">
        <v>50</v>
      </c>
      <c r="E301" s="1" t="s">
        <v>51</v>
      </c>
      <c r="F301" s="1" t="s">
        <v>50</v>
      </c>
      <c r="G301" s="1" t="s">
        <v>51</v>
      </c>
      <c r="H301" s="1" t="s">
        <v>56</v>
      </c>
      <c r="I301" s="1" t="s">
        <v>57</v>
      </c>
      <c r="J301" s="1">
        <f t="shared" si="4"/>
        <v>100</v>
      </c>
      <c r="K301" s="3">
        <v>1</v>
      </c>
      <c r="L301" s="4">
        <v>8.73</v>
      </c>
      <c r="M301" s="5">
        <v>1.4574</v>
      </c>
      <c r="N301">
        <v>99.86</v>
      </c>
      <c r="O301">
        <v>99.91</v>
      </c>
      <c r="P301" s="6">
        <v>0.99909999999999999</v>
      </c>
      <c r="Q301" s="6">
        <v>0.99909999999999999</v>
      </c>
      <c r="R301">
        <v>0</v>
      </c>
      <c r="S301">
        <v>0.03</v>
      </c>
      <c r="T301" s="7">
        <v>0</v>
      </c>
      <c r="U301" s="7">
        <v>0</v>
      </c>
      <c r="V301" s="7">
        <v>0</v>
      </c>
      <c r="W301" s="7">
        <v>0</v>
      </c>
      <c r="X301" s="6">
        <v>0.22570000000000001</v>
      </c>
      <c r="Y301" s="6">
        <v>0.2283</v>
      </c>
      <c r="Z301" s="4">
        <v>-6.27</v>
      </c>
      <c r="AA301" s="4">
        <v>-99.21</v>
      </c>
      <c r="AB301" s="6">
        <v>0.99950000000000006</v>
      </c>
      <c r="AD301" s="3">
        <v>1</v>
      </c>
      <c r="AE301" s="6">
        <v>4.8999999999999998E-3</v>
      </c>
      <c r="AF301" s="6">
        <v>3.2399999999999998E-2</v>
      </c>
      <c r="AG301" s="7">
        <v>0</v>
      </c>
      <c r="AH301" s="7">
        <v>0</v>
      </c>
      <c r="AI301" s="7">
        <v>6</v>
      </c>
      <c r="AJ301" s="3">
        <v>1</v>
      </c>
      <c r="AK301" s="7">
        <v>789501600</v>
      </c>
      <c r="AL301" s="5">
        <v>18.826699999999999</v>
      </c>
      <c r="AM301" s="5">
        <v>78.364000000000004</v>
      </c>
      <c r="AN301" s="5">
        <v>310.3501</v>
      </c>
    </row>
    <row r="302" spans="1:40" ht="16.5" x14ac:dyDescent="0.45">
      <c r="A302" s="1" t="s">
        <v>100</v>
      </c>
      <c r="B302" s="1" t="s">
        <v>101</v>
      </c>
      <c r="C302" s="1" t="s">
        <v>41</v>
      </c>
      <c r="D302" s="1" t="s">
        <v>50</v>
      </c>
      <c r="E302" s="1" t="s">
        <v>51</v>
      </c>
      <c r="F302" s="1" t="s">
        <v>50</v>
      </c>
      <c r="G302" s="1" t="s">
        <v>51</v>
      </c>
      <c r="H302" s="1" t="s">
        <v>58</v>
      </c>
      <c r="I302" s="1" t="s">
        <v>59</v>
      </c>
      <c r="J302" s="1">
        <f t="shared" si="4"/>
        <v>100</v>
      </c>
      <c r="K302" s="3">
        <v>1</v>
      </c>
      <c r="L302" s="4">
        <v>5.24</v>
      </c>
      <c r="M302" s="5">
        <v>2.7957000000000001</v>
      </c>
      <c r="N302">
        <v>99.7</v>
      </c>
      <c r="O302">
        <v>99.99</v>
      </c>
      <c r="P302" s="6">
        <v>0.99990000000000001</v>
      </c>
      <c r="Q302" s="6">
        <v>0.99990000000000001</v>
      </c>
      <c r="R302">
        <v>0</v>
      </c>
      <c r="S302">
        <v>0.01</v>
      </c>
      <c r="T302" s="7">
        <v>0</v>
      </c>
      <c r="U302" s="7">
        <v>0</v>
      </c>
      <c r="V302" s="7">
        <v>0</v>
      </c>
      <c r="W302" s="7">
        <v>0</v>
      </c>
      <c r="X302" s="6">
        <v>0.21840000000000001</v>
      </c>
      <c r="Y302" s="6">
        <v>0.25690000000000002</v>
      </c>
      <c r="Z302" s="4">
        <v>-5.72</v>
      </c>
      <c r="AA302" s="4">
        <v>-101.95</v>
      </c>
      <c r="AB302" s="6">
        <v>0.99960000000000004</v>
      </c>
      <c r="AD302" s="3">
        <v>1</v>
      </c>
      <c r="AE302" s="6">
        <v>2.8999999999999998E-3</v>
      </c>
      <c r="AF302" s="6">
        <v>2.4899999999999999E-2</v>
      </c>
      <c r="AG302" s="7">
        <v>0</v>
      </c>
      <c r="AH302" s="7">
        <v>0</v>
      </c>
      <c r="AI302" s="7">
        <v>4</v>
      </c>
      <c r="AJ302" s="3">
        <v>1</v>
      </c>
      <c r="AK302" s="7">
        <v>789501600</v>
      </c>
      <c r="AL302" s="5">
        <v>22.274999999999999</v>
      </c>
      <c r="AM302" s="5">
        <v>98.0959</v>
      </c>
      <c r="AN302" s="5">
        <v>670.63059999999996</v>
      </c>
    </row>
    <row r="303" spans="1:40" ht="16.5" x14ac:dyDescent="0.45">
      <c r="A303" s="1" t="s">
        <v>101</v>
      </c>
      <c r="B303" s="1" t="s">
        <v>102</v>
      </c>
      <c r="C303" s="1" t="s">
        <v>41</v>
      </c>
      <c r="D303" s="1" t="s">
        <v>42</v>
      </c>
      <c r="E303" s="1" t="s">
        <v>43</v>
      </c>
      <c r="F303" s="1" t="s">
        <v>42</v>
      </c>
      <c r="G303" s="1" t="s">
        <v>43</v>
      </c>
      <c r="H303" s="1" t="s">
        <v>44</v>
      </c>
      <c r="I303" s="1" t="s">
        <v>45</v>
      </c>
      <c r="J303" s="1">
        <f t="shared" si="4"/>
        <v>100</v>
      </c>
      <c r="K303" s="3">
        <v>1</v>
      </c>
      <c r="L303" s="4">
        <v>5.32</v>
      </c>
      <c r="M303" s="5">
        <v>1.4862</v>
      </c>
      <c r="N303">
        <v>100</v>
      </c>
      <c r="O303">
        <v>99.95</v>
      </c>
      <c r="P303" s="6">
        <v>0.99950000000000006</v>
      </c>
      <c r="Q303" s="6">
        <v>0.99950000000000006</v>
      </c>
      <c r="R303">
        <v>0</v>
      </c>
      <c r="S303">
        <v>0.03</v>
      </c>
      <c r="T303" s="7">
        <v>0</v>
      </c>
      <c r="U303" s="7">
        <v>0</v>
      </c>
      <c r="V303" s="7">
        <v>0</v>
      </c>
      <c r="W303" s="7">
        <v>0</v>
      </c>
      <c r="X303" s="6">
        <v>0.15559999999999999</v>
      </c>
      <c r="Y303" s="6">
        <v>8.1000000000000003E-2</v>
      </c>
      <c r="Z303" s="4">
        <v>-5.64</v>
      </c>
      <c r="AA303" s="4">
        <v>-101.86</v>
      </c>
      <c r="AB303" s="6">
        <v>0.99950000000000006</v>
      </c>
      <c r="AD303" s="3">
        <v>1</v>
      </c>
      <c r="AE303" s="6">
        <v>2.5000000000000001E-3</v>
      </c>
      <c r="AF303" s="6">
        <v>2.41E-2</v>
      </c>
      <c r="AG303" s="7">
        <v>0</v>
      </c>
      <c r="AH303" s="7">
        <v>0</v>
      </c>
      <c r="AI303" s="7">
        <v>5</v>
      </c>
      <c r="AJ303" s="3">
        <v>1</v>
      </c>
      <c r="AK303" s="7">
        <v>789501600</v>
      </c>
      <c r="AL303" s="5">
        <v>15.021599999999999</v>
      </c>
      <c r="AM303" s="5">
        <v>57.110700000000001</v>
      </c>
      <c r="AN303" s="5">
        <v>349.51510000000002</v>
      </c>
    </row>
    <row r="304" spans="1:40" ht="16.5" x14ac:dyDescent="0.45">
      <c r="A304" s="1" t="s">
        <v>101</v>
      </c>
      <c r="B304" s="1" t="s">
        <v>102</v>
      </c>
      <c r="C304" s="1" t="s">
        <v>41</v>
      </c>
      <c r="D304" s="1" t="s">
        <v>42</v>
      </c>
      <c r="E304" s="1" t="s">
        <v>43</v>
      </c>
      <c r="F304" s="1" t="s">
        <v>42</v>
      </c>
      <c r="G304" s="1" t="s">
        <v>43</v>
      </c>
      <c r="H304" s="1" t="s">
        <v>46</v>
      </c>
      <c r="I304" s="1" t="s">
        <v>47</v>
      </c>
      <c r="J304" s="1">
        <f t="shared" si="4"/>
        <v>100</v>
      </c>
      <c r="K304" s="3">
        <v>1</v>
      </c>
      <c r="L304" s="4">
        <v>1.33</v>
      </c>
      <c r="M304" s="5">
        <v>0.9486</v>
      </c>
      <c r="N304">
        <v>100</v>
      </c>
      <c r="O304">
        <v>99.79</v>
      </c>
      <c r="P304" s="6">
        <v>0.99780000000000002</v>
      </c>
      <c r="Q304" s="6">
        <v>0.99790000000000001</v>
      </c>
      <c r="R304">
        <v>0</v>
      </c>
      <c r="S304">
        <v>0.05</v>
      </c>
      <c r="T304" s="7">
        <v>0</v>
      </c>
      <c r="U304" s="7">
        <v>0</v>
      </c>
      <c r="V304" s="7">
        <v>0</v>
      </c>
      <c r="W304" s="7">
        <v>0</v>
      </c>
      <c r="X304" s="6">
        <v>0.1148</v>
      </c>
      <c r="Y304" s="6">
        <v>7.6399999999999996E-2</v>
      </c>
      <c r="Z304" s="4">
        <v>-4.88</v>
      </c>
      <c r="AA304" s="4">
        <v>-103.36</v>
      </c>
      <c r="AB304" s="6">
        <v>0.99939999999999996</v>
      </c>
      <c r="AD304" s="3">
        <v>1</v>
      </c>
      <c r="AE304" s="6">
        <v>5.3E-3</v>
      </c>
      <c r="AF304" s="6">
        <v>2.8799999999999999E-2</v>
      </c>
      <c r="AG304" s="7">
        <v>0</v>
      </c>
      <c r="AH304" s="7">
        <v>0</v>
      </c>
      <c r="AI304" s="7">
        <v>7</v>
      </c>
      <c r="AJ304" s="6">
        <v>0.99990000000000001</v>
      </c>
      <c r="AK304" s="7">
        <v>789501600</v>
      </c>
      <c r="AL304" s="5">
        <v>12.3833</v>
      </c>
      <c r="AM304" s="5">
        <v>37.731999999999999</v>
      </c>
      <c r="AN304" s="5">
        <v>224.83840000000001</v>
      </c>
    </row>
    <row r="305" spans="1:40" ht="16.5" x14ac:dyDescent="0.45">
      <c r="A305" s="1" t="s">
        <v>101</v>
      </c>
      <c r="B305" s="1" t="s">
        <v>102</v>
      </c>
      <c r="C305" s="1" t="s">
        <v>41</v>
      </c>
      <c r="D305" s="1" t="s">
        <v>42</v>
      </c>
      <c r="E305" s="1" t="s">
        <v>43</v>
      </c>
      <c r="F305" s="1" t="s">
        <v>42</v>
      </c>
      <c r="G305" s="1" t="s">
        <v>43</v>
      </c>
      <c r="H305" s="1" t="s">
        <v>48</v>
      </c>
      <c r="I305" s="1" t="s">
        <v>49</v>
      </c>
      <c r="J305" s="1">
        <f t="shared" si="4"/>
        <v>100</v>
      </c>
      <c r="K305" s="3">
        <v>1</v>
      </c>
      <c r="L305" s="4">
        <v>2.02</v>
      </c>
      <c r="M305" s="5">
        <v>0.72850000000000004</v>
      </c>
      <c r="N305">
        <v>100</v>
      </c>
      <c r="O305">
        <v>99.98</v>
      </c>
      <c r="P305" s="6">
        <v>0.99980000000000002</v>
      </c>
      <c r="Q305" s="6">
        <v>0.99980000000000002</v>
      </c>
      <c r="R305">
        <v>0</v>
      </c>
      <c r="S305">
        <v>0.04</v>
      </c>
      <c r="T305" s="7">
        <v>0</v>
      </c>
      <c r="U305" s="7">
        <v>0</v>
      </c>
      <c r="V305" s="7">
        <v>0</v>
      </c>
      <c r="W305" s="7">
        <v>0</v>
      </c>
      <c r="X305" s="6">
        <v>0.12790000000000001</v>
      </c>
      <c r="Y305" s="6">
        <v>0.1229</v>
      </c>
      <c r="Z305" s="4">
        <v>-4.55</v>
      </c>
      <c r="AA305" s="4">
        <v>-101.24</v>
      </c>
      <c r="AB305" s="6">
        <v>0.99939999999999996</v>
      </c>
      <c r="AD305" s="3">
        <v>1</v>
      </c>
      <c r="AE305" s="6">
        <v>2.2000000000000001E-3</v>
      </c>
      <c r="AF305" s="6">
        <v>3.9899999999999998E-2</v>
      </c>
      <c r="AG305" s="7">
        <v>0</v>
      </c>
      <c r="AH305" s="7">
        <v>0</v>
      </c>
      <c r="AI305" s="7">
        <v>4</v>
      </c>
      <c r="AJ305" s="3">
        <v>1</v>
      </c>
      <c r="AK305" s="7">
        <v>789501600</v>
      </c>
      <c r="AL305" s="5">
        <v>14.25</v>
      </c>
      <c r="AM305" s="5">
        <v>36.550899999999999</v>
      </c>
      <c r="AN305" s="5">
        <v>166.15770000000001</v>
      </c>
    </row>
    <row r="306" spans="1:40" ht="16.5" x14ac:dyDescent="0.45">
      <c r="A306" s="1" t="s">
        <v>101</v>
      </c>
      <c r="B306" s="1" t="s">
        <v>102</v>
      </c>
      <c r="C306" s="1" t="s">
        <v>41</v>
      </c>
      <c r="D306" s="1" t="s">
        <v>50</v>
      </c>
      <c r="E306" s="1" t="s">
        <v>51</v>
      </c>
      <c r="F306" s="1" t="s">
        <v>50</v>
      </c>
      <c r="G306" s="1" t="s">
        <v>51</v>
      </c>
      <c r="H306" s="1" t="s">
        <v>52</v>
      </c>
      <c r="I306" s="1" t="s">
        <v>53</v>
      </c>
      <c r="J306" s="1">
        <f t="shared" si="4"/>
        <v>100</v>
      </c>
      <c r="K306" s="3">
        <v>1</v>
      </c>
      <c r="L306" s="4">
        <v>7.23</v>
      </c>
      <c r="M306" s="5">
        <v>2.0861000000000001</v>
      </c>
      <c r="N306">
        <v>100</v>
      </c>
      <c r="O306">
        <v>99.81</v>
      </c>
      <c r="P306" s="6">
        <v>0.99809999999999999</v>
      </c>
      <c r="Q306" s="6">
        <v>0.99809999999999999</v>
      </c>
      <c r="R306">
        <v>0</v>
      </c>
      <c r="S306">
        <v>0.03</v>
      </c>
      <c r="T306" s="7">
        <v>0</v>
      </c>
      <c r="U306" s="7">
        <v>0</v>
      </c>
      <c r="V306" s="7">
        <v>0</v>
      </c>
      <c r="W306" s="7">
        <v>0</v>
      </c>
      <c r="X306" s="6">
        <v>0.21390000000000001</v>
      </c>
      <c r="Y306" s="6">
        <v>0.31319999999999998</v>
      </c>
      <c r="Z306" s="4">
        <v>-8.18</v>
      </c>
      <c r="AA306" s="4">
        <v>-96.41</v>
      </c>
      <c r="AB306" s="6">
        <v>0.99950000000000006</v>
      </c>
      <c r="AD306" s="3">
        <v>1</v>
      </c>
      <c r="AE306" s="6">
        <v>5.5999999999999999E-3</v>
      </c>
      <c r="AF306" s="6">
        <v>4.1700000000000001E-2</v>
      </c>
      <c r="AG306" s="7">
        <v>0</v>
      </c>
      <c r="AH306" s="7">
        <v>0</v>
      </c>
      <c r="AI306" s="7">
        <v>32</v>
      </c>
      <c r="AJ306" s="3">
        <v>1</v>
      </c>
      <c r="AK306" s="7">
        <v>789501600</v>
      </c>
      <c r="AL306" s="5">
        <v>32.884999999999998</v>
      </c>
      <c r="AM306" s="5">
        <v>209.98339999999999</v>
      </c>
      <c r="AN306" s="5">
        <v>385.37979999999999</v>
      </c>
    </row>
    <row r="307" spans="1:40" ht="16.5" x14ac:dyDescent="0.45">
      <c r="A307" s="1" t="s">
        <v>101</v>
      </c>
      <c r="B307" s="1" t="s">
        <v>102</v>
      </c>
      <c r="C307" s="1" t="s">
        <v>41</v>
      </c>
      <c r="D307" s="1" t="s">
        <v>50</v>
      </c>
      <c r="E307" s="1" t="s">
        <v>51</v>
      </c>
      <c r="F307" s="1" t="s">
        <v>50</v>
      </c>
      <c r="G307" s="1" t="s">
        <v>51</v>
      </c>
      <c r="H307" s="1" t="s">
        <v>54</v>
      </c>
      <c r="I307" s="1" t="s">
        <v>55</v>
      </c>
      <c r="J307" s="1">
        <f t="shared" si="4"/>
        <v>100</v>
      </c>
      <c r="K307" s="3">
        <v>1</v>
      </c>
      <c r="L307" s="4">
        <v>5.0999999999999996</v>
      </c>
      <c r="M307" s="5">
        <v>1.0527</v>
      </c>
      <c r="N307">
        <v>100</v>
      </c>
      <c r="O307">
        <v>99.97</v>
      </c>
      <c r="P307" s="6">
        <v>0.99970000000000003</v>
      </c>
      <c r="Q307" s="6">
        <v>0.99970000000000003</v>
      </c>
      <c r="R307">
        <v>0</v>
      </c>
      <c r="S307">
        <v>0.02</v>
      </c>
      <c r="T307" s="7">
        <v>0</v>
      </c>
      <c r="U307" s="7">
        <v>0</v>
      </c>
      <c r="V307" s="7">
        <v>0</v>
      </c>
      <c r="W307" s="7">
        <v>0</v>
      </c>
      <c r="X307" s="6">
        <v>0.16300000000000001</v>
      </c>
      <c r="Y307" s="6">
        <v>0.1953</v>
      </c>
      <c r="Z307" s="4">
        <v>-5.79</v>
      </c>
      <c r="AA307" s="4">
        <v>-101.38</v>
      </c>
      <c r="AB307" s="3">
        <v>1</v>
      </c>
      <c r="AD307" s="3">
        <v>1</v>
      </c>
      <c r="AE307" s="6">
        <v>3.8999999999999998E-3</v>
      </c>
      <c r="AF307" s="6">
        <v>2.6800000000000001E-2</v>
      </c>
      <c r="AG307" s="7">
        <v>0</v>
      </c>
      <c r="AH307" s="7">
        <v>0</v>
      </c>
      <c r="AI307" s="7">
        <v>6</v>
      </c>
      <c r="AJ307" s="3">
        <v>1</v>
      </c>
      <c r="AK307" s="7">
        <v>789501600</v>
      </c>
      <c r="AL307" s="5">
        <v>18.6067</v>
      </c>
      <c r="AM307" s="5">
        <v>88.878</v>
      </c>
      <c r="AN307" s="5">
        <v>212.45930000000001</v>
      </c>
    </row>
    <row r="308" spans="1:40" ht="16.5" x14ac:dyDescent="0.45">
      <c r="A308" s="1" t="s">
        <v>101</v>
      </c>
      <c r="B308" s="1" t="s">
        <v>102</v>
      </c>
      <c r="C308" s="1" t="s">
        <v>41</v>
      </c>
      <c r="D308" s="1" t="s">
        <v>50</v>
      </c>
      <c r="E308" s="1" t="s">
        <v>51</v>
      </c>
      <c r="F308" s="1" t="s">
        <v>50</v>
      </c>
      <c r="G308" s="1" t="s">
        <v>51</v>
      </c>
      <c r="H308" s="1" t="s">
        <v>56</v>
      </c>
      <c r="I308" s="1" t="s">
        <v>57</v>
      </c>
      <c r="J308" s="1">
        <f t="shared" si="4"/>
        <v>100</v>
      </c>
      <c r="K308" s="3">
        <v>1</v>
      </c>
      <c r="L308" s="4">
        <v>5.96</v>
      </c>
      <c r="M308" s="5">
        <v>1.1605000000000001</v>
      </c>
      <c r="N308">
        <v>99.82</v>
      </c>
      <c r="O308">
        <v>99.91</v>
      </c>
      <c r="P308" s="6">
        <v>0.99909999999999999</v>
      </c>
      <c r="Q308" s="6">
        <v>0.99909999999999999</v>
      </c>
      <c r="R308">
        <v>0.2</v>
      </c>
      <c r="S308">
        <v>0.04</v>
      </c>
      <c r="T308" s="7">
        <v>0</v>
      </c>
      <c r="U308" s="7">
        <v>0</v>
      </c>
      <c r="V308" s="7">
        <v>0</v>
      </c>
      <c r="W308" s="7">
        <v>0</v>
      </c>
      <c r="X308" s="6">
        <v>0.17560000000000001</v>
      </c>
      <c r="Y308" s="6">
        <v>0.19500000000000001</v>
      </c>
      <c r="Z308" s="4">
        <v>-5.45</v>
      </c>
      <c r="AA308" s="4">
        <v>-99.66</v>
      </c>
      <c r="AB308" s="6">
        <v>0.99890000000000001</v>
      </c>
      <c r="AD308" s="3">
        <v>0.75</v>
      </c>
      <c r="AE308" s="6">
        <v>4.3E-3</v>
      </c>
      <c r="AF308" s="6">
        <v>3.32E-2</v>
      </c>
      <c r="AG308" s="7">
        <v>0</v>
      </c>
      <c r="AH308" s="7">
        <v>0</v>
      </c>
      <c r="AI308" s="7">
        <v>6</v>
      </c>
      <c r="AJ308" s="3">
        <v>1</v>
      </c>
      <c r="AK308" s="7">
        <v>789501600</v>
      </c>
      <c r="AL308" s="5">
        <v>15.0517</v>
      </c>
      <c r="AM308" s="5">
        <v>64.178899999999999</v>
      </c>
      <c r="AN308" s="5">
        <v>260.44170000000003</v>
      </c>
    </row>
    <row r="309" spans="1:40" ht="16.5" x14ac:dyDescent="0.45">
      <c r="A309" s="1" t="s">
        <v>101</v>
      </c>
      <c r="B309" s="1" t="s">
        <v>102</v>
      </c>
      <c r="C309" s="1" t="s">
        <v>41</v>
      </c>
      <c r="D309" s="1" t="s">
        <v>50</v>
      </c>
      <c r="E309" s="1" t="s">
        <v>51</v>
      </c>
      <c r="F309" s="1" t="s">
        <v>50</v>
      </c>
      <c r="G309" s="1" t="s">
        <v>51</v>
      </c>
      <c r="H309" s="1" t="s">
        <v>58</v>
      </c>
      <c r="I309" s="1" t="s">
        <v>59</v>
      </c>
      <c r="J309" s="1">
        <f t="shared" si="4"/>
        <v>100</v>
      </c>
      <c r="K309" s="3">
        <v>1</v>
      </c>
      <c r="L309" s="4">
        <v>5.48</v>
      </c>
      <c r="M309" s="5">
        <v>1.7995000000000001</v>
      </c>
      <c r="N309">
        <v>100</v>
      </c>
      <c r="O309">
        <v>99.98</v>
      </c>
      <c r="P309" s="6">
        <v>0.99980000000000002</v>
      </c>
      <c r="Q309" s="6">
        <v>0.99980000000000002</v>
      </c>
      <c r="R309">
        <v>0</v>
      </c>
      <c r="S309">
        <v>0.02</v>
      </c>
      <c r="T309" s="7">
        <v>0</v>
      </c>
      <c r="U309" s="7">
        <v>0</v>
      </c>
      <c r="V309" s="7">
        <v>0</v>
      </c>
      <c r="W309" s="7">
        <v>0</v>
      </c>
      <c r="X309" s="6">
        <v>0.1653</v>
      </c>
      <c r="Y309" s="6">
        <v>0.20899999999999999</v>
      </c>
      <c r="Z309" s="4">
        <v>-5.0599999999999996</v>
      </c>
      <c r="AA309" s="4">
        <v>-102.38</v>
      </c>
      <c r="AB309" s="6">
        <v>0.99960000000000004</v>
      </c>
      <c r="AD309" s="3">
        <v>1</v>
      </c>
      <c r="AE309" s="6">
        <v>3.3999999999999998E-3</v>
      </c>
      <c r="AF309" s="6">
        <v>3.5700000000000003E-2</v>
      </c>
      <c r="AG309" s="7">
        <v>0</v>
      </c>
      <c r="AH309" s="7">
        <v>0</v>
      </c>
      <c r="AI309" s="7">
        <v>17</v>
      </c>
      <c r="AJ309" s="3">
        <v>1</v>
      </c>
      <c r="AK309" s="7">
        <v>789501600</v>
      </c>
      <c r="AL309" s="5">
        <v>17.62</v>
      </c>
      <c r="AM309" s="5">
        <v>124.574</v>
      </c>
      <c r="AN309" s="5">
        <v>394.10849999999999</v>
      </c>
    </row>
    <row r="310" spans="1:40" ht="16.5" x14ac:dyDescent="0.45">
      <c r="A310" s="1" t="s">
        <v>102</v>
      </c>
      <c r="B310" s="1" t="s">
        <v>103</v>
      </c>
      <c r="C310" s="1" t="s">
        <v>41</v>
      </c>
      <c r="D310" s="1" t="s">
        <v>42</v>
      </c>
      <c r="E310" s="1" t="s">
        <v>43</v>
      </c>
      <c r="F310" s="1" t="s">
        <v>42</v>
      </c>
      <c r="G310" s="1" t="s">
        <v>43</v>
      </c>
      <c r="H310" s="1" t="s">
        <v>44</v>
      </c>
      <c r="I310" s="1" t="s">
        <v>45</v>
      </c>
      <c r="J310" s="1">
        <f t="shared" si="4"/>
        <v>100</v>
      </c>
      <c r="K310" s="3">
        <v>1</v>
      </c>
      <c r="L310" s="4">
        <v>1.83</v>
      </c>
      <c r="M310" s="5">
        <v>0.84809999999999997</v>
      </c>
      <c r="N310">
        <v>100</v>
      </c>
      <c r="O310">
        <v>99.850000000000009</v>
      </c>
      <c r="P310" s="6">
        <v>0.99850000000000005</v>
      </c>
      <c r="Q310" s="6">
        <v>0.99850000000000005</v>
      </c>
      <c r="R310">
        <v>0</v>
      </c>
      <c r="S310">
        <v>0</v>
      </c>
      <c r="T310" s="7">
        <v>0</v>
      </c>
      <c r="U310" s="7">
        <v>0</v>
      </c>
      <c r="V310" s="7">
        <v>0</v>
      </c>
      <c r="W310" s="7">
        <v>0</v>
      </c>
      <c r="X310" s="6">
        <v>0.1181</v>
      </c>
      <c r="Y310" s="6">
        <v>7.0599999999999996E-2</v>
      </c>
      <c r="Z310" s="4">
        <v>-4.96</v>
      </c>
      <c r="AA310" s="4">
        <v>-101.97</v>
      </c>
      <c r="AB310" s="3">
        <v>1</v>
      </c>
      <c r="AD310" s="3">
        <v>1</v>
      </c>
      <c r="AE310" s="6">
        <v>2.0999999999999999E-3</v>
      </c>
      <c r="AF310" s="6">
        <v>3.39E-2</v>
      </c>
      <c r="AG310" s="7">
        <v>0</v>
      </c>
      <c r="AH310" s="7">
        <v>0</v>
      </c>
      <c r="AI310" s="7">
        <v>6</v>
      </c>
      <c r="AJ310" s="3">
        <v>1</v>
      </c>
      <c r="AK310" s="7">
        <v>789501600</v>
      </c>
      <c r="AL310" s="5">
        <v>13.58</v>
      </c>
      <c r="AM310" s="5">
        <v>38.482799999999997</v>
      </c>
      <c r="AN310" s="5">
        <v>187.32069999999999</v>
      </c>
    </row>
    <row r="311" spans="1:40" ht="16.5" x14ac:dyDescent="0.45">
      <c r="A311" s="1" t="s">
        <v>102</v>
      </c>
      <c r="B311" s="1" t="s">
        <v>103</v>
      </c>
      <c r="C311" s="1" t="s">
        <v>41</v>
      </c>
      <c r="D311" s="1" t="s">
        <v>42</v>
      </c>
      <c r="E311" s="1" t="s">
        <v>43</v>
      </c>
      <c r="F311" s="1" t="s">
        <v>42</v>
      </c>
      <c r="G311" s="1" t="s">
        <v>43</v>
      </c>
      <c r="H311" s="1" t="s">
        <v>46</v>
      </c>
      <c r="I311" s="1" t="s">
        <v>47</v>
      </c>
      <c r="J311" s="1">
        <f t="shared" si="4"/>
        <v>100</v>
      </c>
      <c r="K311" s="3">
        <v>1</v>
      </c>
      <c r="L311" s="4">
        <v>1.3</v>
      </c>
      <c r="M311" s="5">
        <v>0.78259999999999996</v>
      </c>
      <c r="N311">
        <v>99.19</v>
      </c>
      <c r="O311">
        <v>99.82</v>
      </c>
      <c r="P311" s="6">
        <v>0.998</v>
      </c>
      <c r="Q311" s="6">
        <v>0.998</v>
      </c>
      <c r="R311">
        <v>0</v>
      </c>
      <c r="S311">
        <v>0.06</v>
      </c>
      <c r="T311" s="7">
        <v>0</v>
      </c>
      <c r="U311" s="7">
        <v>0</v>
      </c>
      <c r="V311" s="7">
        <v>0</v>
      </c>
      <c r="W311" s="7">
        <v>0</v>
      </c>
      <c r="X311" s="6">
        <v>0.1153</v>
      </c>
      <c r="Y311" s="6">
        <v>7.1999999999999995E-2</v>
      </c>
      <c r="Z311" s="4">
        <v>-4.91</v>
      </c>
      <c r="AA311" s="4">
        <v>-103.33</v>
      </c>
      <c r="AB311" s="6">
        <v>0.99960000000000004</v>
      </c>
      <c r="AD311" s="3">
        <v>1</v>
      </c>
      <c r="AE311" s="6">
        <v>7.0000000000000001E-3</v>
      </c>
      <c r="AF311" s="6">
        <v>2.7099999999999999E-2</v>
      </c>
      <c r="AG311" s="7">
        <v>0</v>
      </c>
      <c r="AH311" s="7">
        <v>0</v>
      </c>
      <c r="AI311" s="7">
        <v>10</v>
      </c>
      <c r="AJ311" s="3">
        <v>1</v>
      </c>
      <c r="AK311" s="7">
        <v>789501600</v>
      </c>
      <c r="AL311" s="5">
        <v>10.7934</v>
      </c>
      <c r="AM311" s="5">
        <v>30.347799999999999</v>
      </c>
      <c r="AN311" s="5">
        <v>188.86670000000001</v>
      </c>
    </row>
    <row r="312" spans="1:40" ht="16.5" x14ac:dyDescent="0.45">
      <c r="A312" s="1" t="s">
        <v>102</v>
      </c>
      <c r="B312" s="1" t="s">
        <v>103</v>
      </c>
      <c r="C312" s="1" t="s">
        <v>41</v>
      </c>
      <c r="D312" s="1" t="s">
        <v>42</v>
      </c>
      <c r="E312" s="1" t="s">
        <v>43</v>
      </c>
      <c r="F312" s="1" t="s">
        <v>42</v>
      </c>
      <c r="G312" s="1" t="s">
        <v>43</v>
      </c>
      <c r="H312" s="1" t="s">
        <v>48</v>
      </c>
      <c r="I312" s="1" t="s">
        <v>49</v>
      </c>
      <c r="J312" s="1">
        <f t="shared" si="4"/>
        <v>100</v>
      </c>
      <c r="K312" s="3">
        <v>1</v>
      </c>
      <c r="L312" s="4">
        <v>1.93</v>
      </c>
      <c r="M312" s="5">
        <v>0.89349999999999996</v>
      </c>
      <c r="N312">
        <v>100</v>
      </c>
      <c r="O312">
        <v>99.98</v>
      </c>
      <c r="P312" s="6">
        <v>0.99980000000000002</v>
      </c>
      <c r="Q312" s="6">
        <v>0.99980000000000002</v>
      </c>
      <c r="R312">
        <v>0</v>
      </c>
      <c r="S312">
        <v>0.02</v>
      </c>
      <c r="T312" s="7">
        <v>0</v>
      </c>
      <c r="U312" s="7">
        <v>0</v>
      </c>
      <c r="V312" s="7">
        <v>0</v>
      </c>
      <c r="W312" s="7">
        <v>0</v>
      </c>
      <c r="X312" s="6">
        <v>0.1371</v>
      </c>
      <c r="Y312" s="6">
        <v>0.10879999999999999</v>
      </c>
      <c r="Z312" s="4">
        <v>-4.72</v>
      </c>
      <c r="AA312" s="4">
        <v>-101.11</v>
      </c>
      <c r="AB312" s="6">
        <v>0.99980000000000002</v>
      </c>
      <c r="AD312" s="3">
        <v>1</v>
      </c>
      <c r="AE312" s="6">
        <v>4.1000000000000003E-3</v>
      </c>
      <c r="AF312" s="6">
        <v>2.5999999999999999E-2</v>
      </c>
      <c r="AG312" s="7">
        <v>0</v>
      </c>
      <c r="AH312" s="7">
        <v>0</v>
      </c>
      <c r="AI312" s="7">
        <v>5</v>
      </c>
      <c r="AJ312" s="3">
        <v>1</v>
      </c>
      <c r="AK312" s="7">
        <v>789501600</v>
      </c>
      <c r="AL312" s="5">
        <v>14.523400000000001</v>
      </c>
      <c r="AM312" s="5">
        <v>38.237699999999997</v>
      </c>
      <c r="AN312" s="5">
        <v>209.77029999999999</v>
      </c>
    </row>
    <row r="313" spans="1:40" ht="16.5" x14ac:dyDescent="0.45">
      <c r="A313" s="1" t="s">
        <v>102</v>
      </c>
      <c r="B313" s="1" t="s">
        <v>103</v>
      </c>
      <c r="C313" s="1" t="s">
        <v>41</v>
      </c>
      <c r="D313" s="1" t="s">
        <v>50</v>
      </c>
      <c r="E313" s="1" t="s">
        <v>51</v>
      </c>
      <c r="F313" s="1" t="s">
        <v>50</v>
      </c>
      <c r="G313" s="1" t="s">
        <v>51</v>
      </c>
      <c r="H313" s="1" t="s">
        <v>52</v>
      </c>
      <c r="I313" s="1" t="s">
        <v>53</v>
      </c>
      <c r="J313" s="1">
        <f t="shared" si="4"/>
        <v>100</v>
      </c>
      <c r="K313" s="3">
        <v>1</v>
      </c>
      <c r="L313" s="4">
        <v>6.74</v>
      </c>
      <c r="M313" s="5">
        <v>1.9069</v>
      </c>
      <c r="N313">
        <v>100</v>
      </c>
      <c r="O313">
        <v>99.850000000000009</v>
      </c>
      <c r="P313" s="6">
        <v>0.99850000000000005</v>
      </c>
      <c r="Q313" s="6">
        <v>0.99850000000000005</v>
      </c>
      <c r="R313">
        <v>0</v>
      </c>
      <c r="S313">
        <v>0.03</v>
      </c>
      <c r="T313" s="7">
        <v>0</v>
      </c>
      <c r="U313" s="7">
        <v>0</v>
      </c>
      <c r="V313" s="7">
        <v>0</v>
      </c>
      <c r="W313" s="7">
        <v>0</v>
      </c>
      <c r="X313" s="6">
        <v>0.1946</v>
      </c>
      <c r="Y313" s="6">
        <v>0.30709999999999998</v>
      </c>
      <c r="Z313" s="4">
        <v>-7.79</v>
      </c>
      <c r="AA313" s="4">
        <v>-96.39</v>
      </c>
      <c r="AB313" s="6">
        <v>0.99939999999999996</v>
      </c>
      <c r="AC313" s="7">
        <v>100</v>
      </c>
      <c r="AD313" s="3">
        <v>1</v>
      </c>
      <c r="AE313" s="6">
        <v>9.7000000000000003E-3</v>
      </c>
      <c r="AF313" s="6">
        <v>7.2700000000000001E-2</v>
      </c>
      <c r="AG313" s="7">
        <v>0</v>
      </c>
      <c r="AH313" s="7">
        <v>0</v>
      </c>
      <c r="AI313" s="7">
        <v>30</v>
      </c>
      <c r="AJ313" s="3">
        <v>1</v>
      </c>
      <c r="AK313" s="7">
        <v>789501600</v>
      </c>
      <c r="AL313" s="5">
        <v>28.8217</v>
      </c>
      <c r="AM313" s="5">
        <v>144.2329</v>
      </c>
      <c r="AN313" s="5">
        <v>400.81040000000002</v>
      </c>
    </row>
    <row r="314" spans="1:40" ht="16.5" x14ac:dyDescent="0.45">
      <c r="A314" s="1" t="s">
        <v>102</v>
      </c>
      <c r="B314" s="1" t="s">
        <v>103</v>
      </c>
      <c r="C314" s="1" t="s">
        <v>41</v>
      </c>
      <c r="D314" s="1" t="s">
        <v>50</v>
      </c>
      <c r="E314" s="1" t="s">
        <v>51</v>
      </c>
      <c r="F314" s="1" t="s">
        <v>50</v>
      </c>
      <c r="G314" s="1" t="s">
        <v>51</v>
      </c>
      <c r="H314" s="1" t="s">
        <v>54</v>
      </c>
      <c r="I314" s="1" t="s">
        <v>55</v>
      </c>
      <c r="J314" s="1">
        <f t="shared" si="4"/>
        <v>100</v>
      </c>
      <c r="K314" s="3">
        <v>1</v>
      </c>
      <c r="L314" s="4">
        <v>2.92</v>
      </c>
      <c r="M314" s="5">
        <v>1.2222</v>
      </c>
      <c r="N314">
        <v>100</v>
      </c>
      <c r="O314">
        <v>99.87</v>
      </c>
      <c r="P314" s="6">
        <v>0.99870000000000003</v>
      </c>
      <c r="Q314" s="6">
        <v>0.99890000000000001</v>
      </c>
      <c r="R314">
        <v>0</v>
      </c>
      <c r="S314">
        <v>0.02</v>
      </c>
      <c r="T314" s="7">
        <v>0</v>
      </c>
      <c r="U314" s="7">
        <v>0</v>
      </c>
      <c r="V314" s="7">
        <v>0</v>
      </c>
      <c r="W314" s="7">
        <v>0</v>
      </c>
      <c r="X314" s="6">
        <v>0.17050000000000001</v>
      </c>
      <c r="Y314" s="6">
        <v>0.19650000000000001</v>
      </c>
      <c r="Z314" s="4">
        <v>-5.81</v>
      </c>
      <c r="AA314" s="4">
        <v>-101.28</v>
      </c>
      <c r="AB314" s="6">
        <v>0.99990000000000001</v>
      </c>
      <c r="AD314" s="3">
        <v>1</v>
      </c>
      <c r="AE314" s="6">
        <v>4.4999999999999997E-3</v>
      </c>
      <c r="AF314" s="6">
        <v>1.9800000000000002E-2</v>
      </c>
      <c r="AG314" s="7">
        <v>0</v>
      </c>
      <c r="AH314" s="7">
        <v>0</v>
      </c>
      <c r="AI314" s="7">
        <v>7</v>
      </c>
      <c r="AJ314" s="3">
        <v>1</v>
      </c>
      <c r="AK314" s="7">
        <v>789501600</v>
      </c>
      <c r="AL314" s="5">
        <v>20.128399999999999</v>
      </c>
      <c r="AM314" s="5">
        <v>98.018199999999993</v>
      </c>
      <c r="AN314" s="5">
        <v>245.8426</v>
      </c>
    </row>
    <row r="315" spans="1:40" ht="16.5" x14ac:dyDescent="0.45">
      <c r="A315" s="1" t="s">
        <v>102</v>
      </c>
      <c r="B315" s="1" t="s">
        <v>103</v>
      </c>
      <c r="C315" s="1" t="s">
        <v>41</v>
      </c>
      <c r="D315" s="1" t="s">
        <v>50</v>
      </c>
      <c r="E315" s="1" t="s">
        <v>51</v>
      </c>
      <c r="F315" s="1" t="s">
        <v>50</v>
      </c>
      <c r="G315" s="1" t="s">
        <v>51</v>
      </c>
      <c r="H315" s="1" t="s">
        <v>56</v>
      </c>
      <c r="I315" s="1" t="s">
        <v>57</v>
      </c>
      <c r="J315" s="1">
        <f t="shared" si="4"/>
        <v>100</v>
      </c>
      <c r="K315" s="3">
        <v>1</v>
      </c>
      <c r="L315" s="4">
        <v>2.59</v>
      </c>
      <c r="M315" s="5">
        <v>1.0553999999999999</v>
      </c>
      <c r="N315">
        <v>99.68</v>
      </c>
      <c r="O315">
        <v>99.95</v>
      </c>
      <c r="P315" s="6">
        <v>0.99950000000000006</v>
      </c>
      <c r="Q315" s="6">
        <v>0.99950000000000006</v>
      </c>
      <c r="R315">
        <v>0</v>
      </c>
      <c r="S315">
        <v>0.1</v>
      </c>
      <c r="T315" s="7">
        <v>0</v>
      </c>
      <c r="U315" s="7">
        <v>0</v>
      </c>
      <c r="V315" s="7">
        <v>0</v>
      </c>
      <c r="W315" s="7">
        <v>0</v>
      </c>
      <c r="X315" s="6">
        <v>0.14949999999999999</v>
      </c>
      <c r="Y315" s="6">
        <v>0.21360000000000001</v>
      </c>
      <c r="Z315" s="4">
        <v>-4.8600000000000003</v>
      </c>
      <c r="AA315" s="4">
        <v>-99.93</v>
      </c>
      <c r="AB315" s="6">
        <v>0.99880000000000002</v>
      </c>
      <c r="AD315" s="3">
        <v>1</v>
      </c>
      <c r="AE315" s="6">
        <v>4.0000000000000001E-3</v>
      </c>
      <c r="AF315" s="6">
        <v>3.78E-2</v>
      </c>
      <c r="AG315" s="7">
        <v>0</v>
      </c>
      <c r="AH315" s="7">
        <v>0</v>
      </c>
      <c r="AI315" s="7">
        <v>2</v>
      </c>
      <c r="AJ315" s="3">
        <v>1</v>
      </c>
      <c r="AK315" s="7">
        <v>789501600</v>
      </c>
      <c r="AL315" s="5">
        <v>14.62</v>
      </c>
      <c r="AM315" s="5">
        <v>49.9741</v>
      </c>
      <c r="AN315" s="5">
        <v>247.32820000000001</v>
      </c>
    </row>
    <row r="316" spans="1:40" ht="16.5" x14ac:dyDescent="0.45">
      <c r="A316" s="1" t="s">
        <v>102</v>
      </c>
      <c r="B316" s="1" t="s">
        <v>103</v>
      </c>
      <c r="C316" s="1" t="s">
        <v>41</v>
      </c>
      <c r="D316" s="1" t="s">
        <v>50</v>
      </c>
      <c r="E316" s="1" t="s">
        <v>51</v>
      </c>
      <c r="F316" s="1" t="s">
        <v>50</v>
      </c>
      <c r="G316" s="1" t="s">
        <v>51</v>
      </c>
      <c r="H316" s="1" t="s">
        <v>58</v>
      </c>
      <c r="I316" s="1" t="s">
        <v>59</v>
      </c>
      <c r="J316" s="1">
        <f t="shared" si="4"/>
        <v>100</v>
      </c>
      <c r="K316" s="3">
        <v>1</v>
      </c>
      <c r="L316" s="4">
        <v>2.37</v>
      </c>
      <c r="M316" s="5">
        <v>1.3735999999999999</v>
      </c>
      <c r="N316">
        <v>100</v>
      </c>
      <c r="O316">
        <v>99.98</v>
      </c>
      <c r="P316" s="6">
        <v>0.99980000000000002</v>
      </c>
      <c r="Q316" s="6">
        <v>0.99980000000000002</v>
      </c>
      <c r="R316">
        <v>0</v>
      </c>
      <c r="S316">
        <v>0.02</v>
      </c>
      <c r="T316" s="7">
        <v>0</v>
      </c>
      <c r="U316" s="7">
        <v>0</v>
      </c>
      <c r="V316" s="7">
        <v>0</v>
      </c>
      <c r="W316" s="7">
        <v>0</v>
      </c>
      <c r="X316" s="6">
        <v>0.1406</v>
      </c>
      <c r="Y316" s="6">
        <v>0.19220000000000001</v>
      </c>
      <c r="Z316" s="4">
        <v>-4.95</v>
      </c>
      <c r="AA316" s="4">
        <v>-102.46</v>
      </c>
      <c r="AB316" s="6">
        <v>0.99980000000000002</v>
      </c>
      <c r="AD316" s="3">
        <v>1</v>
      </c>
      <c r="AE316" s="6">
        <v>2.8E-3</v>
      </c>
      <c r="AF316" s="6">
        <v>2.3E-2</v>
      </c>
      <c r="AG316" s="7">
        <v>0</v>
      </c>
      <c r="AH316" s="7">
        <v>0</v>
      </c>
      <c r="AI316" s="7">
        <v>3</v>
      </c>
      <c r="AJ316" s="3">
        <v>1</v>
      </c>
      <c r="AK316" s="7">
        <v>789501600</v>
      </c>
      <c r="AL316" s="5">
        <v>16.3</v>
      </c>
      <c r="AM316" s="5">
        <v>118.2042</v>
      </c>
      <c r="AN316" s="5">
        <v>274.75959999999998</v>
      </c>
    </row>
    <row r="317" spans="1:40" ht="16.5" x14ac:dyDescent="0.45">
      <c r="A317" s="1" t="s">
        <v>103</v>
      </c>
      <c r="B317" s="1" t="s">
        <v>104</v>
      </c>
      <c r="C317" s="1" t="s">
        <v>41</v>
      </c>
      <c r="D317" s="1" t="s">
        <v>42</v>
      </c>
      <c r="E317" s="1" t="s">
        <v>43</v>
      </c>
      <c r="F317" s="1" t="s">
        <v>42</v>
      </c>
      <c r="G317" s="1" t="s">
        <v>43</v>
      </c>
      <c r="H317" s="1" t="s">
        <v>44</v>
      </c>
      <c r="I317" s="1" t="s">
        <v>45</v>
      </c>
      <c r="J317" s="1">
        <f t="shared" si="4"/>
        <v>100</v>
      </c>
      <c r="K317" s="3">
        <v>1</v>
      </c>
      <c r="L317" s="4">
        <v>2.08</v>
      </c>
      <c r="M317" s="5">
        <v>0.91420000000000001</v>
      </c>
      <c r="N317">
        <v>100</v>
      </c>
      <c r="O317">
        <v>99.960000000000008</v>
      </c>
      <c r="P317" s="6">
        <v>0.99960000000000004</v>
      </c>
      <c r="Q317" s="6">
        <v>0.99960000000000004</v>
      </c>
      <c r="R317">
        <v>0</v>
      </c>
      <c r="S317">
        <v>0.03</v>
      </c>
      <c r="T317" s="7">
        <v>0</v>
      </c>
      <c r="U317" s="7">
        <v>0</v>
      </c>
      <c r="V317" s="7">
        <v>0</v>
      </c>
      <c r="W317" s="7">
        <v>0</v>
      </c>
      <c r="X317" s="6">
        <v>0.12039999999999999</v>
      </c>
      <c r="Y317" s="6">
        <v>8.2299999999999998E-2</v>
      </c>
      <c r="Z317" s="4">
        <v>-5.33</v>
      </c>
      <c r="AA317" s="4">
        <v>-101.62</v>
      </c>
      <c r="AB317" s="6">
        <v>0.99990000000000001</v>
      </c>
      <c r="AD317" s="3">
        <v>1</v>
      </c>
      <c r="AE317" s="6">
        <v>1.5E-3</v>
      </c>
      <c r="AF317" s="6">
        <v>1.06E-2</v>
      </c>
      <c r="AG317" s="7">
        <v>0</v>
      </c>
      <c r="AH317" s="7">
        <v>0</v>
      </c>
      <c r="AI317" s="7">
        <v>4</v>
      </c>
      <c r="AJ317" s="3">
        <v>1</v>
      </c>
      <c r="AK317" s="7">
        <v>789501600</v>
      </c>
      <c r="AL317" s="5">
        <v>14.4033</v>
      </c>
      <c r="AM317" s="5">
        <v>58.143099999999997</v>
      </c>
      <c r="AN317" s="5">
        <v>200.0538</v>
      </c>
    </row>
    <row r="318" spans="1:40" ht="16.5" x14ac:dyDescent="0.45">
      <c r="A318" s="1" t="s">
        <v>103</v>
      </c>
      <c r="B318" s="1" t="s">
        <v>104</v>
      </c>
      <c r="C318" s="1" t="s">
        <v>41</v>
      </c>
      <c r="D318" s="1" t="s">
        <v>42</v>
      </c>
      <c r="E318" s="1" t="s">
        <v>43</v>
      </c>
      <c r="F318" s="1" t="s">
        <v>42</v>
      </c>
      <c r="G318" s="1" t="s">
        <v>43</v>
      </c>
      <c r="H318" s="1" t="s">
        <v>46</v>
      </c>
      <c r="I318" s="1" t="s">
        <v>47</v>
      </c>
      <c r="J318" s="1">
        <f t="shared" si="4"/>
        <v>100</v>
      </c>
      <c r="K318" s="3">
        <v>1</v>
      </c>
      <c r="L318" s="4">
        <v>1.05</v>
      </c>
      <c r="M318" s="5">
        <v>1.1515</v>
      </c>
      <c r="N318">
        <v>100</v>
      </c>
      <c r="O318">
        <v>99.9</v>
      </c>
      <c r="P318" s="6">
        <v>0.99880000000000002</v>
      </c>
      <c r="Q318" s="6">
        <v>0.99880000000000002</v>
      </c>
      <c r="R318">
        <v>0</v>
      </c>
      <c r="S318">
        <v>0.11</v>
      </c>
      <c r="T318" s="7">
        <v>0</v>
      </c>
      <c r="U318" s="7">
        <v>0</v>
      </c>
      <c r="V318" s="7">
        <v>0</v>
      </c>
      <c r="W318" s="7">
        <v>0</v>
      </c>
      <c r="X318" s="6">
        <v>0.124</v>
      </c>
      <c r="Y318" s="6">
        <v>6.3899999999999998E-2</v>
      </c>
      <c r="Z318" s="4">
        <v>-5.46</v>
      </c>
      <c r="AA318" s="4">
        <v>-103.23</v>
      </c>
      <c r="AB318" s="6">
        <v>0.99980000000000002</v>
      </c>
      <c r="AD318" s="3">
        <v>1</v>
      </c>
      <c r="AE318" s="6">
        <v>2.5999999999999999E-3</v>
      </c>
      <c r="AF318" s="6">
        <v>1.21E-2</v>
      </c>
      <c r="AG318" s="7">
        <v>0</v>
      </c>
      <c r="AH318" s="7">
        <v>0</v>
      </c>
      <c r="AI318" s="7">
        <v>7</v>
      </c>
      <c r="AJ318" s="6">
        <v>0.99980000000000002</v>
      </c>
      <c r="AK318" s="7">
        <v>789501600</v>
      </c>
      <c r="AL318" s="5">
        <v>10.808400000000001</v>
      </c>
      <c r="AM318" s="5">
        <v>42.981900000000003</v>
      </c>
      <c r="AN318" s="5">
        <v>277.54629999999997</v>
      </c>
    </row>
    <row r="319" spans="1:40" ht="16.5" x14ac:dyDescent="0.45">
      <c r="A319" s="1" t="s">
        <v>103</v>
      </c>
      <c r="B319" s="1" t="s">
        <v>104</v>
      </c>
      <c r="C319" s="1" t="s">
        <v>41</v>
      </c>
      <c r="D319" s="1" t="s">
        <v>42</v>
      </c>
      <c r="E319" s="1" t="s">
        <v>43</v>
      </c>
      <c r="F319" s="1" t="s">
        <v>42</v>
      </c>
      <c r="G319" s="1" t="s">
        <v>43</v>
      </c>
      <c r="H319" s="1" t="s">
        <v>48</v>
      </c>
      <c r="I319" s="1" t="s">
        <v>49</v>
      </c>
      <c r="J319" s="1">
        <f t="shared" si="4"/>
        <v>100</v>
      </c>
      <c r="K319" s="3">
        <v>1</v>
      </c>
      <c r="L319" s="4">
        <v>0.77</v>
      </c>
      <c r="M319" s="5">
        <v>1.3105</v>
      </c>
      <c r="N319">
        <v>100</v>
      </c>
      <c r="O319">
        <v>99.91</v>
      </c>
      <c r="P319" s="6">
        <v>0.99909999999999999</v>
      </c>
      <c r="Q319" s="6">
        <v>0.99909999999999999</v>
      </c>
      <c r="R319">
        <v>0</v>
      </c>
      <c r="S319">
        <v>0.05</v>
      </c>
      <c r="T319" s="7">
        <v>0</v>
      </c>
      <c r="U319" s="7">
        <v>0</v>
      </c>
      <c r="V319" s="7">
        <v>0</v>
      </c>
      <c r="W319" s="7">
        <v>0</v>
      </c>
      <c r="X319" s="6">
        <v>0.15409999999999999</v>
      </c>
      <c r="Y319" s="6">
        <v>0.1004</v>
      </c>
      <c r="Z319" s="4">
        <v>-5.1100000000000003</v>
      </c>
      <c r="AA319" s="4">
        <v>-100.97</v>
      </c>
      <c r="AB319" s="6">
        <v>0.99919999999999998</v>
      </c>
      <c r="AD319" s="3">
        <v>0.5</v>
      </c>
      <c r="AE319" s="6">
        <v>4.4999999999999997E-3</v>
      </c>
      <c r="AF319" s="6">
        <v>1.5699999999999999E-2</v>
      </c>
      <c r="AG319" s="7">
        <v>0</v>
      </c>
      <c r="AH319" s="7">
        <v>0</v>
      </c>
      <c r="AI319" s="7">
        <v>7</v>
      </c>
      <c r="AJ319" s="3">
        <v>1</v>
      </c>
      <c r="AK319" s="7">
        <v>789501600</v>
      </c>
      <c r="AL319" s="5">
        <v>15.21</v>
      </c>
      <c r="AM319" s="5">
        <v>64.879599999999996</v>
      </c>
      <c r="AN319" s="5">
        <v>304.77030000000002</v>
      </c>
    </row>
    <row r="320" spans="1:40" ht="16.5" x14ac:dyDescent="0.45">
      <c r="A320" s="1" t="s">
        <v>103</v>
      </c>
      <c r="B320" s="1" t="s">
        <v>104</v>
      </c>
      <c r="C320" s="1" t="s">
        <v>41</v>
      </c>
      <c r="D320" s="1" t="s">
        <v>50</v>
      </c>
      <c r="E320" s="1" t="s">
        <v>51</v>
      </c>
      <c r="F320" s="1" t="s">
        <v>50</v>
      </c>
      <c r="G320" s="1" t="s">
        <v>51</v>
      </c>
      <c r="H320" s="1" t="s">
        <v>52</v>
      </c>
      <c r="I320" s="1" t="s">
        <v>53</v>
      </c>
      <c r="J320" s="1">
        <f t="shared" si="4"/>
        <v>100</v>
      </c>
      <c r="K320" s="3">
        <v>1</v>
      </c>
      <c r="L320" s="4">
        <v>3.64</v>
      </c>
      <c r="M320" s="5">
        <v>2.4859</v>
      </c>
      <c r="N320">
        <v>99.78</v>
      </c>
      <c r="O320">
        <v>99.86</v>
      </c>
      <c r="P320" s="6">
        <v>0.99860000000000004</v>
      </c>
      <c r="Q320" s="6">
        <v>0.99860000000000004</v>
      </c>
      <c r="R320">
        <v>0</v>
      </c>
      <c r="S320">
        <v>0.04</v>
      </c>
      <c r="T320" s="7">
        <v>0</v>
      </c>
      <c r="U320" s="7">
        <v>0</v>
      </c>
      <c r="V320" s="7">
        <v>0</v>
      </c>
      <c r="W320" s="7">
        <v>0</v>
      </c>
      <c r="X320" s="6">
        <v>0.20430000000000001</v>
      </c>
      <c r="Y320" s="6">
        <v>0.2918</v>
      </c>
      <c r="Z320" s="4">
        <v>-8.0500000000000007</v>
      </c>
      <c r="AA320" s="4">
        <v>-96.73</v>
      </c>
      <c r="AB320" s="6">
        <v>0.99919999999999998</v>
      </c>
      <c r="AC320" s="7">
        <v>100</v>
      </c>
      <c r="AD320" s="3">
        <v>1</v>
      </c>
      <c r="AE320" s="6">
        <v>5.1999999999999998E-3</v>
      </c>
      <c r="AF320" s="6">
        <v>3.44E-2</v>
      </c>
      <c r="AG320" s="7">
        <v>0</v>
      </c>
      <c r="AH320" s="7">
        <v>0</v>
      </c>
      <c r="AI320" s="7">
        <v>18</v>
      </c>
      <c r="AJ320" s="3">
        <v>1</v>
      </c>
      <c r="AK320" s="7">
        <v>789501600</v>
      </c>
      <c r="AL320" s="5">
        <v>28.015000000000001</v>
      </c>
      <c r="AM320" s="5">
        <v>126.6729</v>
      </c>
      <c r="AN320" s="5">
        <v>537.2962</v>
      </c>
    </row>
    <row r="321" spans="1:40" ht="16.5" x14ac:dyDescent="0.45">
      <c r="A321" s="1" t="s">
        <v>103</v>
      </c>
      <c r="B321" s="1" t="s">
        <v>104</v>
      </c>
      <c r="C321" s="1" t="s">
        <v>41</v>
      </c>
      <c r="D321" s="1" t="s">
        <v>50</v>
      </c>
      <c r="E321" s="1" t="s">
        <v>51</v>
      </c>
      <c r="F321" s="1" t="s">
        <v>50</v>
      </c>
      <c r="G321" s="1" t="s">
        <v>51</v>
      </c>
      <c r="H321" s="1" t="s">
        <v>54</v>
      </c>
      <c r="I321" s="1" t="s">
        <v>55</v>
      </c>
      <c r="J321" s="1">
        <f t="shared" si="4"/>
        <v>100</v>
      </c>
      <c r="K321" s="3">
        <v>1</v>
      </c>
      <c r="L321" s="4">
        <v>2.0699999999999998</v>
      </c>
      <c r="M321" s="5">
        <v>0.93020000000000003</v>
      </c>
      <c r="N321">
        <v>100</v>
      </c>
      <c r="O321">
        <v>99.9</v>
      </c>
      <c r="P321" s="6">
        <v>0.999</v>
      </c>
      <c r="Q321" s="6">
        <v>0.999</v>
      </c>
      <c r="R321">
        <v>0</v>
      </c>
      <c r="S321">
        <v>0.02</v>
      </c>
      <c r="T321" s="7">
        <v>0</v>
      </c>
      <c r="U321" s="7">
        <v>0</v>
      </c>
      <c r="V321" s="7">
        <v>0</v>
      </c>
      <c r="W321" s="7">
        <v>0</v>
      </c>
      <c r="X321" s="6">
        <v>0.1729</v>
      </c>
      <c r="Y321" s="6">
        <v>0.19639999999999999</v>
      </c>
      <c r="Z321" s="4">
        <v>-6.2</v>
      </c>
      <c r="AA321" s="4">
        <v>-101.3</v>
      </c>
      <c r="AB321" s="6">
        <v>0.99980000000000002</v>
      </c>
      <c r="AD321" s="3">
        <v>1</v>
      </c>
      <c r="AE321" s="6">
        <v>4.0000000000000001E-3</v>
      </c>
      <c r="AF321" s="6">
        <v>1.8700000000000001E-2</v>
      </c>
      <c r="AG321" s="7">
        <v>0</v>
      </c>
      <c r="AH321" s="7">
        <v>0</v>
      </c>
      <c r="AI321" s="7">
        <v>8</v>
      </c>
      <c r="AJ321" s="3">
        <v>1</v>
      </c>
      <c r="AK321" s="7">
        <v>789501600</v>
      </c>
      <c r="AL321" s="5">
        <v>19.013400000000001</v>
      </c>
      <c r="AM321" s="5">
        <v>72.792400000000001</v>
      </c>
      <c r="AN321" s="5">
        <v>189.7055</v>
      </c>
    </row>
    <row r="322" spans="1:40" ht="16.5" x14ac:dyDescent="0.45">
      <c r="A322" s="1" t="s">
        <v>103</v>
      </c>
      <c r="B322" s="1" t="s">
        <v>104</v>
      </c>
      <c r="C322" s="1" t="s">
        <v>41</v>
      </c>
      <c r="D322" s="1" t="s">
        <v>50</v>
      </c>
      <c r="E322" s="1" t="s">
        <v>51</v>
      </c>
      <c r="F322" s="1" t="s">
        <v>50</v>
      </c>
      <c r="G322" s="1" t="s">
        <v>51</v>
      </c>
      <c r="H322" s="1" t="s">
        <v>56</v>
      </c>
      <c r="I322" s="1" t="s">
        <v>57</v>
      </c>
      <c r="J322" s="1">
        <f t="shared" si="4"/>
        <v>100</v>
      </c>
      <c r="K322" s="3">
        <v>1</v>
      </c>
      <c r="L322" s="4">
        <v>2.95</v>
      </c>
      <c r="M322" s="5">
        <v>0.93820000000000003</v>
      </c>
      <c r="N322">
        <v>100</v>
      </c>
      <c r="O322">
        <v>99.929999999999993</v>
      </c>
      <c r="P322" s="6">
        <v>0.99929999999999997</v>
      </c>
      <c r="Q322" s="6">
        <v>0.99929999999999997</v>
      </c>
      <c r="R322">
        <v>0</v>
      </c>
      <c r="S322">
        <v>0.05</v>
      </c>
      <c r="T322" s="7">
        <v>0</v>
      </c>
      <c r="U322" s="7">
        <v>0</v>
      </c>
      <c r="V322" s="7">
        <v>0</v>
      </c>
      <c r="W322" s="7">
        <v>0</v>
      </c>
      <c r="X322" s="6">
        <v>0.15459999999999999</v>
      </c>
      <c r="Y322" s="6">
        <v>0.21129999999999999</v>
      </c>
      <c r="Z322" s="4">
        <v>-5.15</v>
      </c>
      <c r="AA322" s="4">
        <v>-99.93</v>
      </c>
      <c r="AB322" s="6">
        <v>0.99990000000000001</v>
      </c>
      <c r="AD322" s="3">
        <v>1</v>
      </c>
      <c r="AE322" s="6">
        <v>4.7000000000000002E-3</v>
      </c>
      <c r="AF322" s="6">
        <v>1.8800000000000001E-2</v>
      </c>
      <c r="AG322" s="7">
        <v>0</v>
      </c>
      <c r="AH322" s="7">
        <v>0</v>
      </c>
      <c r="AI322" s="7">
        <v>5</v>
      </c>
      <c r="AJ322" s="3">
        <v>1</v>
      </c>
      <c r="AK322" s="7">
        <v>789501600</v>
      </c>
      <c r="AL322" s="5">
        <v>15.19</v>
      </c>
      <c r="AM322" s="5">
        <v>64.223600000000005</v>
      </c>
      <c r="AN322" s="5">
        <v>192.02010000000001</v>
      </c>
    </row>
    <row r="323" spans="1:40" ht="16.5" x14ac:dyDescent="0.45">
      <c r="A323" s="1" t="s">
        <v>103</v>
      </c>
      <c r="B323" s="1" t="s">
        <v>104</v>
      </c>
      <c r="C323" s="1" t="s">
        <v>41</v>
      </c>
      <c r="D323" s="1" t="s">
        <v>50</v>
      </c>
      <c r="E323" s="1" t="s">
        <v>51</v>
      </c>
      <c r="F323" s="1" t="s">
        <v>50</v>
      </c>
      <c r="G323" s="1" t="s">
        <v>51</v>
      </c>
      <c r="H323" s="1" t="s">
        <v>58</v>
      </c>
      <c r="I323" s="1" t="s">
        <v>59</v>
      </c>
      <c r="J323" s="1">
        <f t="shared" ref="J323:J344" si="5">K323*100</f>
        <v>100</v>
      </c>
      <c r="K323" s="3">
        <v>1</v>
      </c>
      <c r="L323" s="4">
        <v>2.71</v>
      </c>
      <c r="M323" s="5">
        <v>1.6022000000000001</v>
      </c>
      <c r="N323">
        <v>100</v>
      </c>
      <c r="O323">
        <v>99.94</v>
      </c>
      <c r="P323" s="6">
        <v>0.99939999999999996</v>
      </c>
      <c r="Q323" s="6">
        <v>0.99939999999999996</v>
      </c>
      <c r="R323">
        <v>0</v>
      </c>
      <c r="S323">
        <v>0.03</v>
      </c>
      <c r="T323" s="7">
        <v>0</v>
      </c>
      <c r="U323" s="7">
        <v>0</v>
      </c>
      <c r="V323" s="7">
        <v>0</v>
      </c>
      <c r="W323" s="7">
        <v>0</v>
      </c>
      <c r="X323" s="6">
        <v>0.1578</v>
      </c>
      <c r="Y323" s="6">
        <v>0.1865</v>
      </c>
      <c r="Z323" s="4">
        <v>-5.16</v>
      </c>
      <c r="AA323" s="4">
        <v>-102.7</v>
      </c>
      <c r="AB323" s="6">
        <v>0.99960000000000004</v>
      </c>
      <c r="AD323" s="3">
        <v>1</v>
      </c>
      <c r="AE323" s="6">
        <v>2.5000000000000001E-3</v>
      </c>
      <c r="AF323" s="6">
        <v>1.7299999999999999E-2</v>
      </c>
      <c r="AG323" s="7">
        <v>0</v>
      </c>
      <c r="AH323" s="7">
        <v>0</v>
      </c>
      <c r="AI323" s="7">
        <v>4</v>
      </c>
      <c r="AJ323" s="3">
        <v>1</v>
      </c>
      <c r="AK323" s="7">
        <v>789501600</v>
      </c>
      <c r="AL323" s="5">
        <v>17.0517</v>
      </c>
      <c r="AM323" s="5">
        <v>68.542199999999994</v>
      </c>
      <c r="AN323" s="5">
        <v>369.07619999999997</v>
      </c>
    </row>
    <row r="324" spans="1:40" ht="16.5" x14ac:dyDescent="0.45">
      <c r="A324" s="1" t="s">
        <v>104</v>
      </c>
      <c r="B324" s="1" t="s">
        <v>105</v>
      </c>
      <c r="C324" s="1" t="s">
        <v>41</v>
      </c>
      <c r="D324" s="1" t="s">
        <v>42</v>
      </c>
      <c r="E324" s="1" t="s">
        <v>43</v>
      </c>
      <c r="F324" s="1" t="s">
        <v>42</v>
      </c>
      <c r="G324" s="1" t="s">
        <v>43</v>
      </c>
      <c r="H324" s="1" t="s">
        <v>44</v>
      </c>
      <c r="I324" s="1" t="s">
        <v>45</v>
      </c>
      <c r="J324" s="1">
        <f t="shared" si="5"/>
        <v>100</v>
      </c>
      <c r="K324" s="3">
        <v>1</v>
      </c>
      <c r="L324" s="4">
        <v>2.23</v>
      </c>
      <c r="M324" s="5">
        <v>2.4466999999999999</v>
      </c>
      <c r="N324">
        <v>100</v>
      </c>
      <c r="O324">
        <v>99.9</v>
      </c>
      <c r="P324" s="6">
        <v>0.999</v>
      </c>
      <c r="Q324" s="6">
        <v>0.999</v>
      </c>
      <c r="R324">
        <v>0</v>
      </c>
      <c r="S324">
        <v>0.05</v>
      </c>
      <c r="T324" s="7">
        <v>0</v>
      </c>
      <c r="U324" s="7">
        <v>0</v>
      </c>
      <c r="V324" s="7">
        <v>0</v>
      </c>
      <c r="W324" s="7">
        <v>0</v>
      </c>
      <c r="X324" s="6">
        <v>0.2326</v>
      </c>
      <c r="Y324" s="6">
        <v>9.4299999999999995E-2</v>
      </c>
      <c r="Z324" s="4">
        <v>-6.87</v>
      </c>
      <c r="AA324" s="4">
        <v>-101.42</v>
      </c>
      <c r="AB324" s="6">
        <v>0.99939999999999996</v>
      </c>
      <c r="AD324" s="3">
        <v>1</v>
      </c>
      <c r="AE324" s="6">
        <v>1.9E-3</v>
      </c>
      <c r="AF324" s="6">
        <v>1.89E-2</v>
      </c>
      <c r="AG324" s="7">
        <v>0</v>
      </c>
      <c r="AH324" s="7">
        <v>0</v>
      </c>
      <c r="AI324" s="7">
        <v>15</v>
      </c>
      <c r="AJ324" s="6">
        <v>0.99990000000000001</v>
      </c>
      <c r="AK324" s="7">
        <v>789501600</v>
      </c>
      <c r="AL324" s="5">
        <v>16.89</v>
      </c>
      <c r="AM324" s="5">
        <v>113.99769999999999</v>
      </c>
      <c r="AN324" s="5">
        <v>561.62789999999995</v>
      </c>
    </row>
    <row r="325" spans="1:40" ht="16.5" x14ac:dyDescent="0.45">
      <c r="A325" s="1" t="s">
        <v>104</v>
      </c>
      <c r="B325" s="1" t="s">
        <v>105</v>
      </c>
      <c r="C325" s="1" t="s">
        <v>41</v>
      </c>
      <c r="D325" s="1" t="s">
        <v>42</v>
      </c>
      <c r="E325" s="1" t="s">
        <v>43</v>
      </c>
      <c r="F325" s="1" t="s">
        <v>42</v>
      </c>
      <c r="G325" s="1" t="s">
        <v>43</v>
      </c>
      <c r="H325" s="1" t="s">
        <v>46</v>
      </c>
      <c r="I325" s="1" t="s">
        <v>47</v>
      </c>
      <c r="J325" s="1">
        <f t="shared" si="5"/>
        <v>100</v>
      </c>
      <c r="K325" s="3">
        <v>1</v>
      </c>
      <c r="L325" s="4">
        <v>1.82</v>
      </c>
      <c r="M325" s="5">
        <v>1.1276999999999999</v>
      </c>
      <c r="N325">
        <v>100</v>
      </c>
      <c r="O325">
        <v>99.78</v>
      </c>
      <c r="P325" s="6">
        <v>0.99780000000000002</v>
      </c>
      <c r="Q325" s="6">
        <v>0.99780000000000002</v>
      </c>
      <c r="R325">
        <v>0</v>
      </c>
      <c r="S325">
        <v>0.16</v>
      </c>
      <c r="T325" s="7">
        <v>0</v>
      </c>
      <c r="U325" s="7">
        <v>0</v>
      </c>
      <c r="V325" s="7">
        <v>0</v>
      </c>
      <c r="W325" s="7">
        <v>0</v>
      </c>
      <c r="X325" s="6">
        <v>0.1249</v>
      </c>
      <c r="Y325" s="6">
        <v>6.9199999999999998E-2</v>
      </c>
      <c r="Z325" s="4">
        <v>-5.98</v>
      </c>
      <c r="AA325" s="4">
        <v>-102.91</v>
      </c>
      <c r="AB325" s="6">
        <v>0.999</v>
      </c>
      <c r="AD325" s="3">
        <v>1</v>
      </c>
      <c r="AE325" s="6">
        <v>3.5999999999999999E-3</v>
      </c>
      <c r="AF325" s="6">
        <v>1.8200000000000001E-2</v>
      </c>
      <c r="AG325" s="7">
        <v>0</v>
      </c>
      <c r="AH325" s="7">
        <v>0</v>
      </c>
      <c r="AI325" s="7">
        <v>6</v>
      </c>
      <c r="AJ325" s="6">
        <v>0.99980000000000002</v>
      </c>
      <c r="AK325" s="7">
        <v>789501600</v>
      </c>
      <c r="AL325" s="5">
        <v>13.0017</v>
      </c>
      <c r="AM325" s="5">
        <v>45.393500000000003</v>
      </c>
      <c r="AN325" s="5">
        <v>264.85840000000002</v>
      </c>
    </row>
    <row r="326" spans="1:40" ht="16.5" x14ac:dyDescent="0.45">
      <c r="A326" s="1" t="s">
        <v>104</v>
      </c>
      <c r="B326" s="1" t="s">
        <v>105</v>
      </c>
      <c r="C326" s="1" t="s">
        <v>41</v>
      </c>
      <c r="D326" s="1" t="s">
        <v>42</v>
      </c>
      <c r="E326" s="1" t="s">
        <v>43</v>
      </c>
      <c r="F326" s="1" t="s">
        <v>42</v>
      </c>
      <c r="G326" s="1" t="s">
        <v>43</v>
      </c>
      <c r="H326" s="1" t="s">
        <v>48</v>
      </c>
      <c r="I326" s="1" t="s">
        <v>49</v>
      </c>
      <c r="J326" s="1">
        <f t="shared" si="5"/>
        <v>100</v>
      </c>
      <c r="K326" s="3">
        <v>1</v>
      </c>
      <c r="L326" s="4">
        <v>1.75</v>
      </c>
      <c r="M326" s="5">
        <v>2.7503000000000002</v>
      </c>
      <c r="N326">
        <v>100</v>
      </c>
      <c r="O326">
        <v>99.850000000000009</v>
      </c>
      <c r="P326" s="6">
        <v>0.99850000000000005</v>
      </c>
      <c r="Q326" s="6">
        <v>0.99850000000000005</v>
      </c>
      <c r="R326">
        <v>0</v>
      </c>
      <c r="S326">
        <v>0.04</v>
      </c>
      <c r="T326" s="7">
        <v>0</v>
      </c>
      <c r="U326" s="7">
        <v>0</v>
      </c>
      <c r="V326" s="7">
        <v>0</v>
      </c>
      <c r="W326" s="7">
        <v>0</v>
      </c>
      <c r="X326" s="6">
        <v>0.23669999999999999</v>
      </c>
      <c r="Y326" s="6">
        <v>0.1145</v>
      </c>
      <c r="Z326" s="4">
        <v>-5.89</v>
      </c>
      <c r="AA326" s="4">
        <v>-100.59</v>
      </c>
      <c r="AB326" s="6">
        <v>0.99970000000000003</v>
      </c>
      <c r="AD326" s="3">
        <v>1</v>
      </c>
      <c r="AE326" s="6">
        <v>2.3E-3</v>
      </c>
      <c r="AF326" s="6">
        <v>1.1900000000000001E-2</v>
      </c>
      <c r="AG326" s="7">
        <v>0</v>
      </c>
      <c r="AH326" s="7">
        <v>0</v>
      </c>
      <c r="AI326" s="7">
        <v>6</v>
      </c>
      <c r="AJ326" s="3">
        <v>1</v>
      </c>
      <c r="AK326" s="7">
        <v>789501600</v>
      </c>
      <c r="AL326" s="5">
        <v>20.706700000000001</v>
      </c>
      <c r="AM326" s="5">
        <v>126.20529999999999</v>
      </c>
      <c r="AN326" s="5">
        <v>642.23530000000005</v>
      </c>
    </row>
    <row r="327" spans="1:40" ht="16.5" x14ac:dyDescent="0.45">
      <c r="A327" s="1" t="s">
        <v>104</v>
      </c>
      <c r="B327" s="1" t="s">
        <v>105</v>
      </c>
      <c r="C327" s="1" t="s">
        <v>41</v>
      </c>
      <c r="D327" s="1" t="s">
        <v>50</v>
      </c>
      <c r="E327" s="1" t="s">
        <v>51</v>
      </c>
      <c r="F327" s="1" t="s">
        <v>50</v>
      </c>
      <c r="G327" s="1" t="s">
        <v>51</v>
      </c>
      <c r="H327" s="1" t="s">
        <v>52</v>
      </c>
      <c r="I327" s="1" t="s">
        <v>53</v>
      </c>
      <c r="J327" s="1">
        <f t="shared" si="5"/>
        <v>100</v>
      </c>
      <c r="K327" s="3">
        <v>1</v>
      </c>
      <c r="L327" s="4">
        <v>5.8</v>
      </c>
      <c r="M327" s="5">
        <v>2.6307</v>
      </c>
      <c r="N327">
        <v>100</v>
      </c>
      <c r="O327">
        <v>99.82</v>
      </c>
      <c r="P327" s="6">
        <v>0.99819999999999998</v>
      </c>
      <c r="Q327" s="6">
        <v>0.99819999999999998</v>
      </c>
      <c r="R327">
        <v>0</v>
      </c>
      <c r="S327">
        <v>0.05</v>
      </c>
      <c r="T327" s="7">
        <v>0</v>
      </c>
      <c r="U327" s="7">
        <v>0</v>
      </c>
      <c r="V327" s="7">
        <v>0</v>
      </c>
      <c r="W327" s="7">
        <v>0</v>
      </c>
      <c r="X327" s="6">
        <v>0.26579999999999998</v>
      </c>
      <c r="Y327" s="6">
        <v>0.33079999999999998</v>
      </c>
      <c r="Z327" s="4">
        <v>-8.92</v>
      </c>
      <c r="AA327" s="4">
        <v>-96.37</v>
      </c>
      <c r="AB327" s="6">
        <v>0.99950000000000006</v>
      </c>
      <c r="AC327" s="7">
        <v>100</v>
      </c>
      <c r="AD327" s="3">
        <v>1</v>
      </c>
      <c r="AE327" s="6">
        <v>6.4000000000000003E-3</v>
      </c>
      <c r="AF327" s="6">
        <v>3.9100000000000003E-2</v>
      </c>
      <c r="AG327" s="7">
        <v>0</v>
      </c>
      <c r="AH327" s="7">
        <v>0</v>
      </c>
      <c r="AI327" s="7">
        <v>26</v>
      </c>
      <c r="AJ327" s="3">
        <v>1</v>
      </c>
      <c r="AK327" s="7">
        <v>789501600</v>
      </c>
      <c r="AL327" s="5">
        <v>34.736699999999999</v>
      </c>
      <c r="AM327" s="5">
        <v>139.7097</v>
      </c>
      <c r="AN327" s="5">
        <v>597.00440000000003</v>
      </c>
    </row>
    <row r="328" spans="1:40" ht="16.5" x14ac:dyDescent="0.45">
      <c r="A328" s="1" t="s">
        <v>104</v>
      </c>
      <c r="B328" s="1" t="s">
        <v>105</v>
      </c>
      <c r="C328" s="1" t="s">
        <v>41</v>
      </c>
      <c r="D328" s="1" t="s">
        <v>50</v>
      </c>
      <c r="E328" s="1" t="s">
        <v>51</v>
      </c>
      <c r="F328" s="1" t="s">
        <v>50</v>
      </c>
      <c r="G328" s="1" t="s">
        <v>51</v>
      </c>
      <c r="H328" s="1" t="s">
        <v>54</v>
      </c>
      <c r="I328" s="1" t="s">
        <v>55</v>
      </c>
      <c r="J328" s="1">
        <f t="shared" si="5"/>
        <v>100</v>
      </c>
      <c r="K328" s="3">
        <v>1</v>
      </c>
      <c r="L328" s="4">
        <v>5.19</v>
      </c>
      <c r="M328" s="5">
        <v>1.8562000000000001</v>
      </c>
      <c r="N328">
        <v>100</v>
      </c>
      <c r="O328">
        <v>99.9</v>
      </c>
      <c r="P328" s="6">
        <v>0.999</v>
      </c>
      <c r="Q328" s="6">
        <v>0.99909999999999999</v>
      </c>
      <c r="R328">
        <v>0</v>
      </c>
      <c r="S328">
        <v>0.05</v>
      </c>
      <c r="T328" s="7">
        <v>0</v>
      </c>
      <c r="U328" s="7">
        <v>0</v>
      </c>
      <c r="V328" s="7">
        <v>0</v>
      </c>
      <c r="W328" s="7">
        <v>0</v>
      </c>
      <c r="X328" s="6">
        <v>0.24940000000000001</v>
      </c>
      <c r="Y328" s="6">
        <v>0.2205</v>
      </c>
      <c r="Z328" s="4">
        <v>-7.22</v>
      </c>
      <c r="AA328" s="4">
        <v>-100.72</v>
      </c>
      <c r="AB328" s="6">
        <v>0.99960000000000004</v>
      </c>
      <c r="AD328" s="3">
        <v>1</v>
      </c>
      <c r="AE328" s="6">
        <v>5.7000000000000002E-3</v>
      </c>
      <c r="AF328" s="6">
        <v>2.8299999999999999E-2</v>
      </c>
      <c r="AG328" s="7">
        <v>0</v>
      </c>
      <c r="AH328" s="7">
        <v>0</v>
      </c>
      <c r="AI328" s="7">
        <v>18</v>
      </c>
      <c r="AJ328" s="3">
        <v>1</v>
      </c>
      <c r="AK328" s="7">
        <v>789501600</v>
      </c>
      <c r="AL328" s="5">
        <v>22.656700000000001</v>
      </c>
      <c r="AM328" s="5">
        <v>95.224199999999996</v>
      </c>
      <c r="AN328" s="5">
        <v>427.13350000000003</v>
      </c>
    </row>
    <row r="329" spans="1:40" ht="16.5" x14ac:dyDescent="0.45">
      <c r="A329" s="1" t="s">
        <v>104</v>
      </c>
      <c r="B329" s="1" t="s">
        <v>105</v>
      </c>
      <c r="C329" s="1" t="s">
        <v>41</v>
      </c>
      <c r="D329" s="1" t="s">
        <v>50</v>
      </c>
      <c r="E329" s="1" t="s">
        <v>51</v>
      </c>
      <c r="F329" s="1" t="s">
        <v>50</v>
      </c>
      <c r="G329" s="1" t="s">
        <v>51</v>
      </c>
      <c r="H329" s="1" t="s">
        <v>56</v>
      </c>
      <c r="I329" s="1" t="s">
        <v>57</v>
      </c>
      <c r="J329" s="1">
        <f t="shared" si="5"/>
        <v>100</v>
      </c>
      <c r="K329" s="3">
        <v>1</v>
      </c>
      <c r="L329" s="4">
        <v>4.8499999999999996</v>
      </c>
      <c r="M329" s="5">
        <v>1.4388000000000001</v>
      </c>
      <c r="N329">
        <v>100</v>
      </c>
      <c r="O329">
        <v>99.850000000000009</v>
      </c>
      <c r="P329" s="6">
        <v>0.99850000000000005</v>
      </c>
      <c r="Q329" s="6">
        <v>0.99860000000000004</v>
      </c>
      <c r="R329">
        <v>0</v>
      </c>
      <c r="S329">
        <v>0.03</v>
      </c>
      <c r="T329" s="7">
        <v>0</v>
      </c>
      <c r="U329" s="7">
        <v>0</v>
      </c>
      <c r="V329" s="7">
        <v>0</v>
      </c>
      <c r="W329" s="7">
        <v>0</v>
      </c>
      <c r="X329" s="6">
        <v>0.19950000000000001</v>
      </c>
      <c r="Y329" s="6">
        <v>0.214</v>
      </c>
      <c r="Z329" s="4">
        <v>-5.77</v>
      </c>
      <c r="AA329" s="4">
        <v>-99.42</v>
      </c>
      <c r="AB329" s="6">
        <v>0.99990000000000001</v>
      </c>
      <c r="AD329" s="3">
        <v>1</v>
      </c>
      <c r="AE329" s="6">
        <v>2.5999999999999999E-3</v>
      </c>
      <c r="AF329" s="6">
        <v>1.7399999999999999E-2</v>
      </c>
      <c r="AG329" s="7">
        <v>0</v>
      </c>
      <c r="AH329" s="7">
        <v>0</v>
      </c>
      <c r="AI329" s="7">
        <v>6</v>
      </c>
      <c r="AJ329" s="3">
        <v>1</v>
      </c>
      <c r="AK329" s="7">
        <v>789501600</v>
      </c>
      <c r="AL329" s="5">
        <v>17.5867</v>
      </c>
      <c r="AM329" s="5">
        <v>90.568299999999994</v>
      </c>
      <c r="AN329" s="5">
        <v>311.09649999999999</v>
      </c>
    </row>
    <row r="330" spans="1:40" ht="16.5" x14ac:dyDescent="0.45">
      <c r="A330" s="1" t="s">
        <v>104</v>
      </c>
      <c r="B330" s="1" t="s">
        <v>105</v>
      </c>
      <c r="C330" s="1" t="s">
        <v>41</v>
      </c>
      <c r="D330" s="1" t="s">
        <v>50</v>
      </c>
      <c r="E330" s="1" t="s">
        <v>51</v>
      </c>
      <c r="F330" s="1" t="s">
        <v>50</v>
      </c>
      <c r="G330" s="1" t="s">
        <v>51</v>
      </c>
      <c r="H330" s="1" t="s">
        <v>58</v>
      </c>
      <c r="I330" s="1" t="s">
        <v>59</v>
      </c>
      <c r="J330" s="1">
        <f t="shared" si="5"/>
        <v>100</v>
      </c>
      <c r="K330" s="3">
        <v>1</v>
      </c>
      <c r="L330" s="4">
        <v>2.74</v>
      </c>
      <c r="M330" s="5">
        <v>1.5353000000000001</v>
      </c>
      <c r="N330">
        <v>100</v>
      </c>
      <c r="O330">
        <v>99.92</v>
      </c>
      <c r="P330" s="6">
        <v>0.99919999999999998</v>
      </c>
      <c r="Q330" s="6">
        <v>0.99919999999999998</v>
      </c>
      <c r="R330">
        <v>0</v>
      </c>
      <c r="S330">
        <v>0.04</v>
      </c>
      <c r="T330" s="7">
        <v>0</v>
      </c>
      <c r="U330" s="7">
        <v>0</v>
      </c>
      <c r="V330" s="7">
        <v>0</v>
      </c>
      <c r="W330" s="7">
        <v>0</v>
      </c>
      <c r="X330" s="6">
        <v>0.1888</v>
      </c>
      <c r="Y330" s="6">
        <v>0.20619999999999999</v>
      </c>
      <c r="Z330" s="4">
        <v>-5.64</v>
      </c>
      <c r="AA330" s="4">
        <v>-102.49</v>
      </c>
      <c r="AB330" s="3">
        <v>1</v>
      </c>
      <c r="AD330" s="3">
        <v>1</v>
      </c>
      <c r="AE330" s="6">
        <v>2.5000000000000001E-3</v>
      </c>
      <c r="AF330" s="6">
        <v>1.6899999999999998E-2</v>
      </c>
      <c r="AG330" s="7">
        <v>0</v>
      </c>
      <c r="AH330" s="7">
        <v>0</v>
      </c>
      <c r="AI330" s="7">
        <v>22</v>
      </c>
      <c r="AJ330" s="3">
        <v>1</v>
      </c>
      <c r="AK330" s="7">
        <v>789501600</v>
      </c>
      <c r="AL330" s="5">
        <v>19.598299999999998</v>
      </c>
      <c r="AM330" s="5">
        <v>70.624600000000001</v>
      </c>
      <c r="AN330" s="5">
        <v>357.00720000000001</v>
      </c>
    </row>
    <row r="331" spans="1:40" ht="16.5" x14ac:dyDescent="0.45">
      <c r="A331" s="1" t="s">
        <v>105</v>
      </c>
      <c r="B331" s="1" t="s">
        <v>106</v>
      </c>
      <c r="C331" s="1" t="s">
        <v>41</v>
      </c>
      <c r="D331" s="1" t="s">
        <v>42</v>
      </c>
      <c r="E331" s="1" t="s">
        <v>43</v>
      </c>
      <c r="F331" s="1" t="s">
        <v>42</v>
      </c>
      <c r="G331" s="1" t="s">
        <v>43</v>
      </c>
      <c r="H331" s="1" t="s">
        <v>44</v>
      </c>
      <c r="I331" s="1" t="s">
        <v>45</v>
      </c>
      <c r="J331" s="1">
        <f t="shared" si="5"/>
        <v>100</v>
      </c>
      <c r="K331" s="3">
        <v>1</v>
      </c>
      <c r="L331" s="4">
        <v>10.68</v>
      </c>
      <c r="M331" s="5">
        <v>2.1013000000000002</v>
      </c>
      <c r="N331">
        <v>99.88</v>
      </c>
      <c r="O331">
        <v>99.91</v>
      </c>
      <c r="P331" s="6">
        <v>0.99909999999999999</v>
      </c>
      <c r="Q331" s="6">
        <v>0.99909999999999999</v>
      </c>
      <c r="R331">
        <v>0</v>
      </c>
      <c r="S331">
        <v>0.08</v>
      </c>
      <c r="T331" s="7">
        <v>0</v>
      </c>
      <c r="U331" s="7">
        <v>0</v>
      </c>
      <c r="V331" s="7">
        <v>0</v>
      </c>
      <c r="W331" s="7">
        <v>0</v>
      </c>
      <c r="X331" s="6">
        <v>0.26939999999999997</v>
      </c>
      <c r="Y331" s="6">
        <v>0.12089999999999999</v>
      </c>
      <c r="Z331" s="4">
        <v>-7.81</v>
      </c>
      <c r="AA331" s="4">
        <v>-100.28</v>
      </c>
      <c r="AB331" s="6">
        <v>0.99929999999999997</v>
      </c>
      <c r="AD331" s="3">
        <v>1</v>
      </c>
      <c r="AE331" s="6">
        <v>3.3999999999999998E-3</v>
      </c>
      <c r="AF331" s="6">
        <v>4.5100000000000001E-2</v>
      </c>
      <c r="AG331" s="7">
        <v>0</v>
      </c>
      <c r="AH331" s="7">
        <v>0</v>
      </c>
      <c r="AI331" s="7">
        <v>19</v>
      </c>
      <c r="AJ331" s="6">
        <v>0.99980000000000002</v>
      </c>
      <c r="AK331" s="7">
        <v>789501600</v>
      </c>
      <c r="AL331" s="5">
        <v>24.004999999999999</v>
      </c>
      <c r="AM331" s="5">
        <v>119.3592</v>
      </c>
      <c r="AN331" s="5">
        <v>452.22289999999998</v>
      </c>
    </row>
    <row r="332" spans="1:40" ht="16.5" x14ac:dyDescent="0.45">
      <c r="A332" s="1" t="s">
        <v>105</v>
      </c>
      <c r="B332" s="1" t="s">
        <v>106</v>
      </c>
      <c r="C332" s="1" t="s">
        <v>41</v>
      </c>
      <c r="D332" s="1" t="s">
        <v>42</v>
      </c>
      <c r="E332" s="1" t="s">
        <v>43</v>
      </c>
      <c r="F332" s="1" t="s">
        <v>42</v>
      </c>
      <c r="G332" s="1" t="s">
        <v>43</v>
      </c>
      <c r="H332" s="1" t="s">
        <v>46</v>
      </c>
      <c r="I332" s="1" t="s">
        <v>47</v>
      </c>
      <c r="J332" s="1">
        <f t="shared" si="5"/>
        <v>100</v>
      </c>
      <c r="K332" s="3">
        <v>1</v>
      </c>
      <c r="L332" s="4">
        <v>8.75</v>
      </c>
      <c r="M332" s="5">
        <v>2.0030999999999999</v>
      </c>
      <c r="N332">
        <v>98.79</v>
      </c>
      <c r="O332">
        <v>99.86</v>
      </c>
      <c r="P332" s="6">
        <v>0.99839999999999995</v>
      </c>
      <c r="Q332" s="6">
        <v>0.99839999999999995</v>
      </c>
      <c r="R332">
        <v>0</v>
      </c>
      <c r="S332">
        <v>0.05</v>
      </c>
      <c r="T332" s="7">
        <v>0</v>
      </c>
      <c r="U332" s="7">
        <v>0</v>
      </c>
      <c r="V332" s="7">
        <v>0</v>
      </c>
      <c r="W332" s="7">
        <v>0</v>
      </c>
      <c r="X332" s="6">
        <v>0.22420000000000001</v>
      </c>
      <c r="Y332" s="6">
        <v>8.4099999999999994E-2</v>
      </c>
      <c r="Z332" s="7">
        <v>-8</v>
      </c>
      <c r="AA332" s="4">
        <v>-101.52</v>
      </c>
      <c r="AB332" s="6">
        <v>0.999</v>
      </c>
      <c r="AD332" s="3">
        <v>1</v>
      </c>
      <c r="AE332" s="6">
        <v>3.7000000000000002E-3</v>
      </c>
      <c r="AF332" s="6">
        <v>3.9E-2</v>
      </c>
      <c r="AG332" s="7">
        <v>0</v>
      </c>
      <c r="AH332" s="7">
        <v>0</v>
      </c>
      <c r="AI332" s="7">
        <v>31</v>
      </c>
      <c r="AJ332" s="3">
        <v>1</v>
      </c>
      <c r="AK332" s="7">
        <v>789501600</v>
      </c>
      <c r="AL332" s="5">
        <v>17.688400000000001</v>
      </c>
      <c r="AM332" s="5">
        <v>85.295299999999997</v>
      </c>
      <c r="AN332" s="5">
        <v>474.16559999999998</v>
      </c>
    </row>
    <row r="333" spans="1:40" ht="16.5" x14ac:dyDescent="0.45">
      <c r="A333" s="1" t="s">
        <v>105</v>
      </c>
      <c r="B333" s="1" t="s">
        <v>106</v>
      </c>
      <c r="C333" s="1" t="s">
        <v>41</v>
      </c>
      <c r="D333" s="1" t="s">
        <v>42</v>
      </c>
      <c r="E333" s="1" t="s">
        <v>43</v>
      </c>
      <c r="F333" s="1" t="s">
        <v>42</v>
      </c>
      <c r="G333" s="1" t="s">
        <v>43</v>
      </c>
      <c r="H333" s="1" t="s">
        <v>48</v>
      </c>
      <c r="I333" s="1" t="s">
        <v>49</v>
      </c>
      <c r="J333" s="1">
        <f t="shared" si="5"/>
        <v>100</v>
      </c>
      <c r="K333" s="3">
        <v>1</v>
      </c>
      <c r="L333" s="4">
        <v>11.07</v>
      </c>
      <c r="M333" s="5">
        <v>3.3357999999999999</v>
      </c>
      <c r="N333">
        <v>99.37</v>
      </c>
      <c r="O333">
        <v>99.92</v>
      </c>
      <c r="P333" s="6">
        <v>0.99919999999999998</v>
      </c>
      <c r="Q333" s="6">
        <v>0.99919999999999998</v>
      </c>
      <c r="R333">
        <v>0</v>
      </c>
      <c r="S333">
        <v>0.06</v>
      </c>
      <c r="T333" s="7">
        <v>0</v>
      </c>
      <c r="U333" s="7">
        <v>0</v>
      </c>
      <c r="V333" s="7">
        <v>0</v>
      </c>
      <c r="W333" s="7">
        <v>0</v>
      </c>
      <c r="X333" s="6">
        <v>0.371</v>
      </c>
      <c r="Y333" s="6">
        <v>0.13550000000000001</v>
      </c>
      <c r="Z333" s="4">
        <v>-7.64</v>
      </c>
      <c r="AA333" s="4">
        <v>-99.75</v>
      </c>
      <c r="AB333" s="6">
        <v>0.99960000000000004</v>
      </c>
      <c r="AC333" s="7">
        <v>100</v>
      </c>
      <c r="AD333" s="6">
        <v>0.85709999999999997</v>
      </c>
      <c r="AE333" s="6">
        <v>3.7000000000000002E-3</v>
      </c>
      <c r="AF333" s="6">
        <v>3.39E-2</v>
      </c>
      <c r="AG333" s="7">
        <v>0</v>
      </c>
      <c r="AH333" s="7">
        <v>0</v>
      </c>
      <c r="AI333" s="7">
        <v>17</v>
      </c>
      <c r="AJ333" s="3">
        <v>1</v>
      </c>
      <c r="AK333" s="7">
        <v>789501600</v>
      </c>
      <c r="AL333" s="5">
        <v>25.541699999999999</v>
      </c>
      <c r="AM333" s="5">
        <v>200.40440000000001</v>
      </c>
      <c r="AN333" s="5">
        <v>721.66459999999995</v>
      </c>
    </row>
    <row r="334" spans="1:40" ht="16.5" x14ac:dyDescent="0.45">
      <c r="A334" s="1" t="s">
        <v>105</v>
      </c>
      <c r="B334" s="1" t="s">
        <v>106</v>
      </c>
      <c r="C334" s="1" t="s">
        <v>41</v>
      </c>
      <c r="D334" s="1" t="s">
        <v>50</v>
      </c>
      <c r="E334" s="1" t="s">
        <v>51</v>
      </c>
      <c r="F334" s="1" t="s">
        <v>50</v>
      </c>
      <c r="G334" s="1" t="s">
        <v>51</v>
      </c>
      <c r="H334" s="1" t="s">
        <v>52</v>
      </c>
      <c r="I334" s="1" t="s">
        <v>53</v>
      </c>
      <c r="J334" s="1">
        <f t="shared" si="5"/>
        <v>100</v>
      </c>
      <c r="K334" s="3">
        <v>1</v>
      </c>
      <c r="L334" s="4">
        <v>26.39</v>
      </c>
      <c r="M334" s="5">
        <v>4.7084999999999999</v>
      </c>
      <c r="N334">
        <v>99.8</v>
      </c>
      <c r="O334">
        <v>99.92</v>
      </c>
      <c r="P334" s="6">
        <v>0.99919999999999998</v>
      </c>
      <c r="Q334" s="6">
        <v>0.99919999999999998</v>
      </c>
      <c r="R334">
        <v>0</v>
      </c>
      <c r="S334">
        <v>0.04</v>
      </c>
      <c r="T334" s="7">
        <v>0</v>
      </c>
      <c r="U334" s="7">
        <v>0</v>
      </c>
      <c r="V334" s="7">
        <v>0</v>
      </c>
      <c r="W334" s="7">
        <v>0</v>
      </c>
      <c r="X334" s="6">
        <v>0.43519999999999998</v>
      </c>
      <c r="Y334" s="6">
        <v>0.36309999999999998</v>
      </c>
      <c r="Z334" s="4">
        <v>-10.64</v>
      </c>
      <c r="AA334" s="4">
        <v>-94.78</v>
      </c>
      <c r="AB334" s="6">
        <v>0.99970000000000003</v>
      </c>
      <c r="AC334" s="7">
        <v>100</v>
      </c>
      <c r="AD334" s="3">
        <v>1</v>
      </c>
      <c r="AE334" s="6">
        <v>6.3E-3</v>
      </c>
      <c r="AF334" s="6">
        <v>5.3600000000000002E-2</v>
      </c>
      <c r="AG334" s="7">
        <v>0</v>
      </c>
      <c r="AH334" s="7">
        <v>0</v>
      </c>
      <c r="AI334" s="7">
        <v>40</v>
      </c>
      <c r="AJ334" s="6">
        <v>0.99990000000000001</v>
      </c>
      <c r="AK334" s="7">
        <v>789501600</v>
      </c>
      <c r="AL334" s="5">
        <v>46.568300000000001</v>
      </c>
      <c r="AM334" s="5">
        <v>500.54809999999998</v>
      </c>
      <c r="AN334" s="5">
        <v>806.48979999999995</v>
      </c>
    </row>
    <row r="335" spans="1:40" ht="16.5" x14ac:dyDescent="0.45">
      <c r="A335" s="1" t="s">
        <v>105</v>
      </c>
      <c r="B335" s="1" t="s">
        <v>106</v>
      </c>
      <c r="C335" s="1" t="s">
        <v>41</v>
      </c>
      <c r="D335" s="1" t="s">
        <v>50</v>
      </c>
      <c r="E335" s="1" t="s">
        <v>51</v>
      </c>
      <c r="F335" s="1" t="s">
        <v>50</v>
      </c>
      <c r="G335" s="1" t="s">
        <v>51</v>
      </c>
      <c r="H335" s="1" t="s">
        <v>54</v>
      </c>
      <c r="I335" s="1" t="s">
        <v>55</v>
      </c>
      <c r="J335" s="1">
        <f t="shared" si="5"/>
        <v>100</v>
      </c>
      <c r="K335" s="3">
        <v>1</v>
      </c>
      <c r="L335" s="4">
        <v>13.94</v>
      </c>
      <c r="M335" s="5">
        <v>2.3990999999999998</v>
      </c>
      <c r="N335">
        <v>99.81</v>
      </c>
      <c r="O335">
        <v>99.88</v>
      </c>
      <c r="P335" s="6">
        <v>0.99880000000000002</v>
      </c>
      <c r="Q335" s="6">
        <v>0.99880000000000002</v>
      </c>
      <c r="R335">
        <v>0</v>
      </c>
      <c r="S335">
        <v>0.02</v>
      </c>
      <c r="T335" s="7">
        <v>0</v>
      </c>
      <c r="U335" s="7">
        <v>0</v>
      </c>
      <c r="V335" s="7">
        <v>0</v>
      </c>
      <c r="W335" s="7">
        <v>0</v>
      </c>
      <c r="X335" s="6">
        <v>0.37440000000000001</v>
      </c>
      <c r="Y335" s="6">
        <v>0.25840000000000002</v>
      </c>
      <c r="Z335" s="4">
        <v>-8.91</v>
      </c>
      <c r="AA335" s="4">
        <v>-100.25</v>
      </c>
      <c r="AB335" s="6">
        <v>0.99950000000000006</v>
      </c>
      <c r="AD335" s="3">
        <v>1</v>
      </c>
      <c r="AE335" s="6">
        <v>5.7999999999999996E-3</v>
      </c>
      <c r="AF335" s="6">
        <v>4.2700000000000002E-2</v>
      </c>
      <c r="AG335" s="7">
        <v>0</v>
      </c>
      <c r="AH335" s="7">
        <v>0</v>
      </c>
      <c r="AI335" s="7">
        <v>24</v>
      </c>
      <c r="AJ335" s="3">
        <v>1</v>
      </c>
      <c r="AK335" s="7">
        <v>789501600</v>
      </c>
      <c r="AL335" s="5">
        <v>29.34</v>
      </c>
      <c r="AM335" s="5">
        <v>148.25720000000001</v>
      </c>
      <c r="AN335" s="5">
        <v>518.90710000000001</v>
      </c>
    </row>
    <row r="336" spans="1:40" ht="16.5" x14ac:dyDescent="0.45">
      <c r="A336" s="1" t="s">
        <v>105</v>
      </c>
      <c r="B336" s="1" t="s">
        <v>106</v>
      </c>
      <c r="C336" s="1" t="s">
        <v>41</v>
      </c>
      <c r="D336" s="1" t="s">
        <v>50</v>
      </c>
      <c r="E336" s="1" t="s">
        <v>51</v>
      </c>
      <c r="F336" s="1" t="s">
        <v>50</v>
      </c>
      <c r="G336" s="1" t="s">
        <v>51</v>
      </c>
      <c r="H336" s="1" t="s">
        <v>56</v>
      </c>
      <c r="I336" s="1" t="s">
        <v>57</v>
      </c>
      <c r="J336" s="1">
        <f t="shared" si="5"/>
        <v>100</v>
      </c>
      <c r="K336" s="3">
        <v>1</v>
      </c>
      <c r="L336" s="4">
        <v>15.66</v>
      </c>
      <c r="M336" s="5">
        <v>2.9533999999999998</v>
      </c>
      <c r="N336">
        <v>99.839999999999989</v>
      </c>
      <c r="O336">
        <v>99.83</v>
      </c>
      <c r="P336" s="6">
        <v>0.99829999999999997</v>
      </c>
      <c r="Q336" s="6">
        <v>0.99839999999999995</v>
      </c>
      <c r="R336">
        <v>0.08</v>
      </c>
      <c r="S336">
        <v>0.06</v>
      </c>
      <c r="T336" s="7">
        <v>0</v>
      </c>
      <c r="U336" s="7">
        <v>0</v>
      </c>
      <c r="V336" s="7">
        <v>0</v>
      </c>
      <c r="W336" s="7">
        <v>0</v>
      </c>
      <c r="X336" s="6">
        <v>0.3609</v>
      </c>
      <c r="Y336" s="6">
        <v>0.20830000000000001</v>
      </c>
      <c r="Z336" s="4">
        <v>-7.82</v>
      </c>
      <c r="AA336" s="4">
        <v>-98.16</v>
      </c>
      <c r="AB336" s="6">
        <v>0.99929999999999997</v>
      </c>
      <c r="AD336" s="3">
        <v>0.85</v>
      </c>
      <c r="AE336" s="6">
        <v>4.3E-3</v>
      </c>
      <c r="AF336" s="6">
        <v>3.2800000000000003E-2</v>
      </c>
      <c r="AG336" s="7">
        <v>0</v>
      </c>
      <c r="AH336" s="7">
        <v>0</v>
      </c>
      <c r="AI336" s="7">
        <v>26</v>
      </c>
      <c r="AJ336" s="3">
        <v>1</v>
      </c>
      <c r="AK336" s="7">
        <v>789501600</v>
      </c>
      <c r="AL336" s="5">
        <v>22.305</v>
      </c>
      <c r="AM336" s="5">
        <v>161.52860000000001</v>
      </c>
      <c r="AN336" s="5">
        <v>635.02250000000004</v>
      </c>
    </row>
    <row r="337" spans="1:40" ht="16.5" x14ac:dyDescent="0.45">
      <c r="A337" s="1" t="s">
        <v>105</v>
      </c>
      <c r="B337" s="1" t="s">
        <v>106</v>
      </c>
      <c r="C337" s="1" t="s">
        <v>41</v>
      </c>
      <c r="D337" s="1" t="s">
        <v>50</v>
      </c>
      <c r="E337" s="1" t="s">
        <v>51</v>
      </c>
      <c r="F337" s="1" t="s">
        <v>50</v>
      </c>
      <c r="G337" s="1" t="s">
        <v>51</v>
      </c>
      <c r="H337" s="1" t="s">
        <v>58</v>
      </c>
      <c r="I337" s="1" t="s">
        <v>59</v>
      </c>
      <c r="J337" s="1">
        <f t="shared" si="5"/>
        <v>100</v>
      </c>
      <c r="K337" s="3">
        <v>1</v>
      </c>
      <c r="L337" s="4">
        <v>13.23</v>
      </c>
      <c r="M337" s="5">
        <v>3.2452000000000001</v>
      </c>
      <c r="N337">
        <v>99.7</v>
      </c>
      <c r="O337">
        <v>99.88</v>
      </c>
      <c r="P337" s="6">
        <v>0.99880000000000002</v>
      </c>
      <c r="Q337" s="6">
        <v>0.99880000000000002</v>
      </c>
      <c r="R337">
        <v>0</v>
      </c>
      <c r="S337">
        <v>0.09</v>
      </c>
      <c r="T337" s="7">
        <v>0</v>
      </c>
      <c r="U337" s="7">
        <v>0</v>
      </c>
      <c r="V337" s="7">
        <v>0</v>
      </c>
      <c r="W337" s="7">
        <v>0</v>
      </c>
      <c r="X337" s="6">
        <v>0.32440000000000002</v>
      </c>
      <c r="Y337" s="6">
        <v>0.23649999999999999</v>
      </c>
      <c r="Z337" s="4">
        <v>-8.18</v>
      </c>
      <c r="AA337" s="4">
        <v>-101.4</v>
      </c>
      <c r="AB337" s="6">
        <v>0.99980000000000002</v>
      </c>
      <c r="AD337" s="3">
        <v>1</v>
      </c>
      <c r="AE337" s="6">
        <v>4.1999999999999997E-3</v>
      </c>
      <c r="AF337" s="6">
        <v>4.8399999999999999E-2</v>
      </c>
      <c r="AG337" s="7">
        <v>0</v>
      </c>
      <c r="AH337" s="7">
        <v>0</v>
      </c>
      <c r="AI337" s="7">
        <v>29</v>
      </c>
      <c r="AJ337" s="6">
        <v>0.99990000000000001</v>
      </c>
      <c r="AK337" s="7">
        <v>789501600</v>
      </c>
      <c r="AL337" s="5">
        <v>28.058299999999999</v>
      </c>
      <c r="AM337" s="5">
        <v>175.09</v>
      </c>
      <c r="AN337" s="5">
        <v>705.77210000000002</v>
      </c>
    </row>
    <row r="338" spans="1:40" ht="16.5" x14ac:dyDescent="0.45">
      <c r="A338" s="1" t="s">
        <v>106</v>
      </c>
      <c r="B338" s="1" t="s">
        <v>107</v>
      </c>
      <c r="C338" s="1" t="s">
        <v>41</v>
      </c>
      <c r="D338" s="1" t="s">
        <v>42</v>
      </c>
      <c r="E338" s="1" t="s">
        <v>43</v>
      </c>
      <c r="F338" s="1" t="s">
        <v>42</v>
      </c>
      <c r="G338" s="1" t="s">
        <v>43</v>
      </c>
      <c r="H338" s="1" t="s">
        <v>44</v>
      </c>
      <c r="I338" s="1" t="s">
        <v>45</v>
      </c>
      <c r="J338" s="1">
        <f t="shared" si="5"/>
        <v>100</v>
      </c>
      <c r="K338" s="3">
        <v>1</v>
      </c>
      <c r="L338" s="4">
        <v>26.41</v>
      </c>
      <c r="M338" s="5">
        <v>2.6644999999999999</v>
      </c>
      <c r="N338">
        <v>99.74</v>
      </c>
      <c r="O338">
        <v>99.9</v>
      </c>
      <c r="P338" s="6">
        <v>0.999</v>
      </c>
      <c r="Q338" s="6">
        <v>0.999</v>
      </c>
      <c r="R338">
        <v>0</v>
      </c>
      <c r="S338">
        <v>6.9999999999999993E-2</v>
      </c>
      <c r="T338" s="7">
        <v>0</v>
      </c>
      <c r="U338" s="7">
        <v>0</v>
      </c>
      <c r="V338" s="7">
        <v>0</v>
      </c>
      <c r="W338" s="7">
        <v>0</v>
      </c>
      <c r="X338" s="6">
        <v>0.37040000000000001</v>
      </c>
      <c r="Y338" s="6">
        <v>0.158</v>
      </c>
      <c r="Z338" s="4">
        <v>-9.51</v>
      </c>
      <c r="AA338" s="7">
        <v>-99</v>
      </c>
      <c r="AB338" s="6">
        <v>0.99939999999999996</v>
      </c>
      <c r="AC338" s="7">
        <v>100</v>
      </c>
      <c r="AD338" s="6">
        <v>0.66669999999999996</v>
      </c>
      <c r="AE338" s="6">
        <v>3.8E-3</v>
      </c>
      <c r="AF338" s="6">
        <v>5.0099999999999999E-2</v>
      </c>
      <c r="AG338" s="7">
        <v>0</v>
      </c>
      <c r="AH338" s="7">
        <v>0</v>
      </c>
      <c r="AI338" s="7">
        <v>35</v>
      </c>
      <c r="AJ338" s="6">
        <v>0.99990000000000001</v>
      </c>
      <c r="AK338" s="7">
        <v>789501600</v>
      </c>
      <c r="AL338" s="5">
        <v>29.453399999999998</v>
      </c>
      <c r="AM338" s="5">
        <v>134.47479999999999</v>
      </c>
      <c r="AN338" s="5">
        <v>592.26649999999995</v>
      </c>
    </row>
    <row r="339" spans="1:40" ht="16.5" x14ac:dyDescent="0.45">
      <c r="A339" s="1" t="s">
        <v>106</v>
      </c>
      <c r="B339" s="1" t="s">
        <v>107</v>
      </c>
      <c r="C339" s="1" t="s">
        <v>41</v>
      </c>
      <c r="D339" s="1" t="s">
        <v>42</v>
      </c>
      <c r="E339" s="1" t="s">
        <v>43</v>
      </c>
      <c r="F339" s="1" t="s">
        <v>42</v>
      </c>
      <c r="G339" s="1" t="s">
        <v>43</v>
      </c>
      <c r="H339" s="1" t="s">
        <v>46</v>
      </c>
      <c r="I339" s="1" t="s">
        <v>47</v>
      </c>
      <c r="J339" s="1">
        <f t="shared" si="5"/>
        <v>100</v>
      </c>
      <c r="K339" s="3">
        <v>1</v>
      </c>
      <c r="L339" s="4">
        <v>20.41</v>
      </c>
      <c r="M339" s="5">
        <v>2.1901000000000002</v>
      </c>
      <c r="N339">
        <v>99.65</v>
      </c>
      <c r="O339">
        <v>99.8</v>
      </c>
      <c r="P339" s="6">
        <v>0.998</v>
      </c>
      <c r="Q339" s="6">
        <v>0.99809999999999999</v>
      </c>
      <c r="R339">
        <v>0.09</v>
      </c>
      <c r="S339">
        <v>6.9999999999999993E-2</v>
      </c>
      <c r="T339" s="7">
        <v>0</v>
      </c>
      <c r="U339" s="7">
        <v>0</v>
      </c>
      <c r="V339" s="7">
        <v>0</v>
      </c>
      <c r="W339" s="7">
        <v>0</v>
      </c>
      <c r="X339" s="6">
        <v>0.29520000000000002</v>
      </c>
      <c r="Y339" s="6">
        <v>9.9599999999999994E-2</v>
      </c>
      <c r="Z339" s="4">
        <v>-8.73</v>
      </c>
      <c r="AA339" s="4">
        <v>-99.93</v>
      </c>
      <c r="AB339" s="6">
        <v>0.99960000000000004</v>
      </c>
      <c r="AD339" s="3">
        <v>1</v>
      </c>
      <c r="AE339" s="6">
        <v>4.1000000000000003E-3</v>
      </c>
      <c r="AF339" s="6">
        <v>4.7600000000000003E-2</v>
      </c>
      <c r="AG339" s="7">
        <v>0</v>
      </c>
      <c r="AH339" s="7">
        <v>0</v>
      </c>
      <c r="AI339" s="7">
        <v>40</v>
      </c>
      <c r="AJ339" s="3">
        <v>1</v>
      </c>
      <c r="AK339" s="7">
        <v>789501600</v>
      </c>
      <c r="AL339" s="5">
        <v>19.913399999999999</v>
      </c>
      <c r="AM339" s="5">
        <v>91.442400000000006</v>
      </c>
      <c r="AN339" s="5">
        <v>508.64929999999998</v>
      </c>
    </row>
    <row r="340" spans="1:40" ht="16.5" x14ac:dyDescent="0.45">
      <c r="A340" s="1" t="s">
        <v>106</v>
      </c>
      <c r="B340" s="1" t="s">
        <v>107</v>
      </c>
      <c r="C340" s="1" t="s">
        <v>41</v>
      </c>
      <c r="D340" s="1" t="s">
        <v>42</v>
      </c>
      <c r="E340" s="1" t="s">
        <v>43</v>
      </c>
      <c r="F340" s="1" t="s">
        <v>42</v>
      </c>
      <c r="G340" s="1" t="s">
        <v>43</v>
      </c>
      <c r="H340" s="1" t="s">
        <v>48</v>
      </c>
      <c r="I340" s="1" t="s">
        <v>49</v>
      </c>
      <c r="J340" s="1">
        <f t="shared" si="5"/>
        <v>100</v>
      </c>
      <c r="K340" s="3">
        <v>1</v>
      </c>
      <c r="L340" s="4">
        <v>25.57</v>
      </c>
      <c r="M340" s="5">
        <v>2.7942999999999998</v>
      </c>
      <c r="N340">
        <v>99.58</v>
      </c>
      <c r="O340">
        <v>99.81</v>
      </c>
      <c r="P340" s="6">
        <v>0.99809999999999999</v>
      </c>
      <c r="Q340" s="6">
        <v>0.99809999999999999</v>
      </c>
      <c r="R340">
        <v>0</v>
      </c>
      <c r="S340">
        <v>6.9999999999999993E-2</v>
      </c>
      <c r="T340" s="7">
        <v>0</v>
      </c>
      <c r="U340" s="7">
        <v>0</v>
      </c>
      <c r="V340" s="7">
        <v>0</v>
      </c>
      <c r="W340" s="7">
        <v>0</v>
      </c>
      <c r="X340" s="6">
        <v>0.4264</v>
      </c>
      <c r="Y340" s="6">
        <v>0.15110000000000001</v>
      </c>
      <c r="Z340" s="4">
        <v>-8.49</v>
      </c>
      <c r="AA340" s="4">
        <v>-99.05</v>
      </c>
      <c r="AB340" s="6">
        <v>0.99970000000000003</v>
      </c>
      <c r="AC340" s="7">
        <v>85</v>
      </c>
      <c r="AD340" s="6">
        <v>0.97560000000000002</v>
      </c>
      <c r="AE340" s="6">
        <v>4.5999999999999999E-3</v>
      </c>
      <c r="AF340" s="6">
        <v>5.1200000000000002E-2</v>
      </c>
      <c r="AG340" s="7">
        <v>0</v>
      </c>
      <c r="AH340" s="7">
        <v>0</v>
      </c>
      <c r="AI340" s="7">
        <v>32</v>
      </c>
      <c r="AJ340" s="6">
        <v>0.99970000000000003</v>
      </c>
      <c r="AK340" s="7">
        <v>789501600</v>
      </c>
      <c r="AL340" s="5">
        <v>25.543399999999998</v>
      </c>
      <c r="AM340" s="5">
        <v>125.5939</v>
      </c>
      <c r="AN340" s="5">
        <v>637.71450000000004</v>
      </c>
    </row>
    <row r="341" spans="1:40" ht="16.5" x14ac:dyDescent="0.45">
      <c r="A341" s="1" t="s">
        <v>106</v>
      </c>
      <c r="B341" s="1" t="s">
        <v>107</v>
      </c>
      <c r="C341" s="1" t="s">
        <v>41</v>
      </c>
      <c r="D341" s="1" t="s">
        <v>50</v>
      </c>
      <c r="E341" s="1" t="s">
        <v>51</v>
      </c>
      <c r="F341" s="1" t="s">
        <v>50</v>
      </c>
      <c r="G341" s="1" t="s">
        <v>51</v>
      </c>
      <c r="H341" s="1" t="s">
        <v>52</v>
      </c>
      <c r="I341" s="1" t="s">
        <v>53</v>
      </c>
      <c r="J341" s="1">
        <f t="shared" si="5"/>
        <v>100</v>
      </c>
      <c r="K341" s="3">
        <v>1</v>
      </c>
      <c r="L341" s="4">
        <v>53.04</v>
      </c>
      <c r="M341" s="5">
        <v>4.8193000000000001</v>
      </c>
      <c r="N341">
        <v>99.74</v>
      </c>
      <c r="O341">
        <v>99.74</v>
      </c>
      <c r="P341" s="6">
        <v>0.99739999999999995</v>
      </c>
      <c r="Q341" s="6">
        <v>0.99739999999999995</v>
      </c>
      <c r="R341">
        <v>0.06</v>
      </c>
      <c r="S341">
        <v>0.12</v>
      </c>
      <c r="T341" s="7">
        <v>0</v>
      </c>
      <c r="U341" s="7">
        <v>0</v>
      </c>
      <c r="V341" s="7">
        <v>0</v>
      </c>
      <c r="W341" s="7">
        <v>0</v>
      </c>
      <c r="X341" s="6">
        <v>0.59919999999999995</v>
      </c>
      <c r="Y341" s="6">
        <v>0.42670000000000002</v>
      </c>
      <c r="Z341" s="4">
        <v>-11.85</v>
      </c>
      <c r="AA341" s="4">
        <v>-93.71</v>
      </c>
      <c r="AB341" s="6">
        <v>0.99950000000000006</v>
      </c>
      <c r="AC341" s="7">
        <v>75</v>
      </c>
      <c r="AD341" s="3">
        <v>1</v>
      </c>
      <c r="AE341" s="6">
        <v>6.7999999999999996E-3</v>
      </c>
      <c r="AF341" s="6">
        <v>7.9299999999999995E-2</v>
      </c>
      <c r="AG341" s="7">
        <v>0</v>
      </c>
      <c r="AH341" s="7">
        <v>0</v>
      </c>
      <c r="AI341" s="7">
        <v>100</v>
      </c>
      <c r="AJ341" s="6">
        <v>0.99990000000000001</v>
      </c>
      <c r="AK341" s="7">
        <v>789501600</v>
      </c>
      <c r="AL341" s="5">
        <v>59.488300000000002</v>
      </c>
      <c r="AM341" s="5">
        <v>372.26670000000001</v>
      </c>
      <c r="AN341" s="5">
        <v>954.27750000000003</v>
      </c>
    </row>
    <row r="342" spans="1:40" ht="16.5" x14ac:dyDescent="0.45">
      <c r="A342" s="1" t="s">
        <v>106</v>
      </c>
      <c r="B342" s="1" t="s">
        <v>107</v>
      </c>
      <c r="C342" s="1" t="s">
        <v>41</v>
      </c>
      <c r="D342" s="1" t="s">
        <v>50</v>
      </c>
      <c r="E342" s="1" t="s">
        <v>51</v>
      </c>
      <c r="F342" s="1" t="s">
        <v>50</v>
      </c>
      <c r="G342" s="1" t="s">
        <v>51</v>
      </c>
      <c r="H342" s="1" t="s">
        <v>54</v>
      </c>
      <c r="I342" s="1" t="s">
        <v>55</v>
      </c>
      <c r="J342" s="1">
        <f t="shared" si="5"/>
        <v>100</v>
      </c>
      <c r="K342" s="3">
        <v>1</v>
      </c>
      <c r="L342" s="4">
        <v>33.14</v>
      </c>
      <c r="M342" s="5">
        <v>2.9903</v>
      </c>
      <c r="N342">
        <v>99.67</v>
      </c>
      <c r="O342">
        <v>99.83</v>
      </c>
      <c r="P342" s="6">
        <v>0.99829999999999997</v>
      </c>
      <c r="Q342" s="6">
        <v>0.99829999999999997</v>
      </c>
      <c r="R342">
        <v>0</v>
      </c>
      <c r="S342">
        <v>0.08</v>
      </c>
      <c r="T342" s="7">
        <v>0</v>
      </c>
      <c r="U342" s="7">
        <v>0</v>
      </c>
      <c r="V342" s="7">
        <v>0</v>
      </c>
      <c r="W342" s="7">
        <v>0</v>
      </c>
      <c r="X342" s="6">
        <v>0.48859999999999998</v>
      </c>
      <c r="Y342" s="6">
        <v>0.22239999999999999</v>
      </c>
      <c r="Z342" s="4">
        <v>-9.94</v>
      </c>
      <c r="AA342" s="4">
        <v>-99.16</v>
      </c>
      <c r="AB342" s="6">
        <v>0.99950000000000006</v>
      </c>
      <c r="AD342" s="3">
        <v>0</v>
      </c>
      <c r="AE342" s="6">
        <v>5.0000000000000001E-3</v>
      </c>
      <c r="AF342" s="6">
        <v>4.7199999999999999E-2</v>
      </c>
      <c r="AG342" s="7">
        <v>0</v>
      </c>
      <c r="AH342" s="7">
        <v>0</v>
      </c>
      <c r="AI342" s="7">
        <v>38</v>
      </c>
      <c r="AJ342" s="3">
        <v>1</v>
      </c>
      <c r="AK342" s="7">
        <v>789501600</v>
      </c>
      <c r="AL342" s="5">
        <v>28.740100000000002</v>
      </c>
      <c r="AM342" s="5">
        <v>158.05099999999999</v>
      </c>
      <c r="AN342" s="5">
        <v>659.69060000000002</v>
      </c>
    </row>
    <row r="343" spans="1:40" ht="16.5" x14ac:dyDescent="0.45">
      <c r="A343" s="1" t="s">
        <v>106</v>
      </c>
      <c r="B343" s="1" t="s">
        <v>107</v>
      </c>
      <c r="C343" s="1" t="s">
        <v>41</v>
      </c>
      <c r="D343" s="1" t="s">
        <v>50</v>
      </c>
      <c r="E343" s="1" t="s">
        <v>51</v>
      </c>
      <c r="F343" s="1" t="s">
        <v>50</v>
      </c>
      <c r="G343" s="1" t="s">
        <v>51</v>
      </c>
      <c r="H343" s="1" t="s">
        <v>56</v>
      </c>
      <c r="I343" s="1" t="s">
        <v>57</v>
      </c>
      <c r="J343" s="1">
        <f t="shared" si="5"/>
        <v>100</v>
      </c>
      <c r="K343" s="3">
        <v>1</v>
      </c>
      <c r="L343" s="4">
        <v>39.75</v>
      </c>
      <c r="M343" s="5">
        <v>3.3734999999999999</v>
      </c>
      <c r="N343">
        <v>99.75</v>
      </c>
      <c r="O343">
        <v>99.78</v>
      </c>
      <c r="P343" s="6">
        <v>0.99780000000000002</v>
      </c>
      <c r="Q343" s="6">
        <v>0.99780000000000002</v>
      </c>
      <c r="R343">
        <v>6.9999999999999993E-2</v>
      </c>
      <c r="S343">
        <v>6.9999999999999993E-2</v>
      </c>
      <c r="T343" s="7">
        <v>0</v>
      </c>
      <c r="U343" s="7">
        <v>0</v>
      </c>
      <c r="V343" s="7">
        <v>0</v>
      </c>
      <c r="W343" s="7">
        <v>0</v>
      </c>
      <c r="X343" s="6">
        <v>0.48499999999999999</v>
      </c>
      <c r="Y343" s="6">
        <v>0.31730000000000003</v>
      </c>
      <c r="Z343" s="4">
        <v>-9.14</v>
      </c>
      <c r="AA343" s="4">
        <v>-96.69</v>
      </c>
      <c r="AB343" s="6">
        <v>0.99929999999999997</v>
      </c>
      <c r="AD343" s="6">
        <v>0.85709999999999997</v>
      </c>
      <c r="AE343" s="6">
        <v>4.4000000000000003E-3</v>
      </c>
      <c r="AF343" s="6">
        <v>4.9000000000000002E-2</v>
      </c>
      <c r="AG343" s="7">
        <v>0</v>
      </c>
      <c r="AH343" s="7">
        <v>0</v>
      </c>
      <c r="AI343" s="7">
        <v>37</v>
      </c>
      <c r="AJ343" s="3">
        <v>1</v>
      </c>
      <c r="AK343" s="7">
        <v>789501600</v>
      </c>
      <c r="AL343" s="5">
        <v>29.121700000000001</v>
      </c>
      <c r="AM343" s="5">
        <v>159.18530000000001</v>
      </c>
      <c r="AN343" s="5">
        <v>755.74890000000005</v>
      </c>
    </row>
    <row r="344" spans="1:40" ht="16.5" x14ac:dyDescent="0.45">
      <c r="A344" s="1" t="s">
        <v>106</v>
      </c>
      <c r="B344" s="1" t="s">
        <v>107</v>
      </c>
      <c r="C344" s="1" t="s">
        <v>41</v>
      </c>
      <c r="D344" s="1" t="s">
        <v>50</v>
      </c>
      <c r="E344" s="1" t="s">
        <v>51</v>
      </c>
      <c r="F344" s="1" t="s">
        <v>50</v>
      </c>
      <c r="G344" s="1" t="s">
        <v>51</v>
      </c>
      <c r="H344" s="1" t="s">
        <v>58</v>
      </c>
      <c r="I344" s="1" t="s">
        <v>59</v>
      </c>
      <c r="J344" s="1">
        <f t="shared" si="5"/>
        <v>100</v>
      </c>
      <c r="K344" s="3">
        <v>1</v>
      </c>
      <c r="L344" s="4">
        <v>30.13</v>
      </c>
      <c r="M344" s="5">
        <v>4.5796999999999999</v>
      </c>
      <c r="N344">
        <v>99.74</v>
      </c>
      <c r="O344">
        <v>99.91</v>
      </c>
      <c r="P344" s="6">
        <v>0.99909999999999999</v>
      </c>
      <c r="Q344" s="6">
        <v>0.999</v>
      </c>
      <c r="R344">
        <v>0.06</v>
      </c>
      <c r="S344">
        <v>0.06</v>
      </c>
      <c r="T344" s="7">
        <v>0</v>
      </c>
      <c r="U344" s="7">
        <v>0</v>
      </c>
      <c r="V344" s="7">
        <v>0</v>
      </c>
      <c r="W344" s="7">
        <v>0</v>
      </c>
      <c r="X344" s="6">
        <v>0.50329999999999997</v>
      </c>
      <c r="Y344" s="6">
        <v>0.33210000000000001</v>
      </c>
      <c r="Z344" s="4">
        <v>-9.6</v>
      </c>
      <c r="AA344" s="4">
        <v>-100.17</v>
      </c>
      <c r="AB344" s="6">
        <v>0.99980000000000002</v>
      </c>
      <c r="AD344" s="3">
        <v>1</v>
      </c>
      <c r="AE344" s="6">
        <v>5.3E-3</v>
      </c>
      <c r="AF344" s="6">
        <v>6.8000000000000005E-2</v>
      </c>
      <c r="AG344" s="7">
        <v>0</v>
      </c>
      <c r="AH344" s="7">
        <v>0</v>
      </c>
      <c r="AI344" s="7">
        <v>45</v>
      </c>
      <c r="AJ344" s="3">
        <v>1</v>
      </c>
      <c r="AK344" s="7">
        <v>789501600</v>
      </c>
      <c r="AL344" s="5">
        <v>33.898299999999999</v>
      </c>
      <c r="AM344" s="5">
        <v>179.17750000000001</v>
      </c>
      <c r="AN344" s="5">
        <v>1078.6815999999999</v>
      </c>
    </row>
    <row r="348" spans="1:40" x14ac:dyDescent="0.35">
      <c r="S34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6"/>
  <sheetViews>
    <sheetView topLeftCell="A21" workbookViewId="0"/>
  </sheetViews>
  <sheetFormatPr defaultRowHeight="14.5" x14ac:dyDescent="0.35"/>
  <cols>
    <col min="1" max="1" width="20" customWidth="1"/>
    <col min="2" max="2" width="60" customWidth="1"/>
    <col min="3" max="3" width="100" customWidth="1"/>
    <col min="4" max="4" width="25" customWidth="1"/>
  </cols>
  <sheetData>
    <row r="1" spans="1:4" ht="16.5" x14ac:dyDescent="0.4">
      <c r="A1" s="8" t="s">
        <v>108</v>
      </c>
      <c r="B1" s="8" t="s">
        <v>109</v>
      </c>
      <c r="C1" s="8" t="s">
        <v>110</v>
      </c>
      <c r="D1" s="8" t="s">
        <v>111</v>
      </c>
    </row>
    <row r="2" spans="1:4" ht="16.5" x14ac:dyDescent="0.45">
      <c r="A2" s="9" t="s">
        <v>112</v>
      </c>
      <c r="B2" s="10" t="s">
        <v>9</v>
      </c>
      <c r="C2" s="11" t="s">
        <v>113</v>
      </c>
      <c r="D2" s="12" t="s">
        <v>114</v>
      </c>
    </row>
    <row r="3" spans="1:4" ht="16.5" x14ac:dyDescent="0.45">
      <c r="A3" s="13" t="s">
        <v>115</v>
      </c>
      <c r="B3" s="14" t="s">
        <v>116</v>
      </c>
      <c r="D3" s="15" t="s">
        <v>114</v>
      </c>
    </row>
    <row r="4" spans="1:4" ht="49.5" x14ac:dyDescent="0.45">
      <c r="A4" s="16" t="s">
        <v>117</v>
      </c>
      <c r="B4" s="17" t="s">
        <v>10</v>
      </c>
      <c r="C4" s="18" t="s">
        <v>118</v>
      </c>
      <c r="D4" s="19" t="s">
        <v>114</v>
      </c>
    </row>
    <row r="5" spans="1:4" ht="16.5" x14ac:dyDescent="0.45">
      <c r="A5" s="20" t="s">
        <v>119</v>
      </c>
      <c r="B5" s="21" t="s">
        <v>120</v>
      </c>
      <c r="D5" s="22" t="s">
        <v>114</v>
      </c>
    </row>
    <row r="6" spans="1:4" ht="16.5" x14ac:dyDescent="0.45">
      <c r="A6" s="23" t="s">
        <v>121</v>
      </c>
      <c r="B6" s="24" t="s">
        <v>122</v>
      </c>
      <c r="D6" s="25" t="s">
        <v>114</v>
      </c>
    </row>
    <row r="7" spans="1:4" ht="16.5" x14ac:dyDescent="0.45">
      <c r="A7" s="26" t="s">
        <v>123</v>
      </c>
      <c r="B7" s="27" t="s">
        <v>124</v>
      </c>
      <c r="D7" s="28" t="s">
        <v>114</v>
      </c>
    </row>
    <row r="8" spans="1:4" ht="16.5" x14ac:dyDescent="0.45">
      <c r="A8" s="29" t="s">
        <v>125</v>
      </c>
      <c r="B8" s="30" t="s">
        <v>126</v>
      </c>
      <c r="D8" s="31" t="s">
        <v>114</v>
      </c>
    </row>
    <row r="9" spans="1:4" ht="16.5" x14ac:dyDescent="0.45">
      <c r="A9" s="32" t="s">
        <v>127</v>
      </c>
      <c r="B9" s="33" t="s">
        <v>128</v>
      </c>
      <c r="D9" s="34" t="s">
        <v>114</v>
      </c>
    </row>
    <row r="10" spans="1:4" ht="16.5" x14ac:dyDescent="0.45">
      <c r="A10" s="35" t="s">
        <v>129</v>
      </c>
      <c r="B10" s="36" t="s">
        <v>130</v>
      </c>
      <c r="D10" s="37" t="s">
        <v>114</v>
      </c>
    </row>
    <row r="11" spans="1:4" ht="16.5" x14ac:dyDescent="0.45">
      <c r="A11" s="38" t="s">
        <v>131</v>
      </c>
      <c r="B11" s="39" t="s">
        <v>132</v>
      </c>
      <c r="D11" s="40" t="s">
        <v>114</v>
      </c>
    </row>
    <row r="12" spans="1:4" ht="16.5" x14ac:dyDescent="0.45">
      <c r="A12" s="41" t="s">
        <v>133</v>
      </c>
      <c r="B12" s="42" t="s">
        <v>134</v>
      </c>
      <c r="D12" s="43" t="s">
        <v>114</v>
      </c>
    </row>
    <row r="13" spans="1:4" ht="16.5" x14ac:dyDescent="0.45">
      <c r="A13" s="44" t="s">
        <v>135</v>
      </c>
      <c r="B13" s="45" t="s">
        <v>136</v>
      </c>
      <c r="D13" s="46" t="s">
        <v>114</v>
      </c>
    </row>
    <row r="14" spans="1:4" ht="16.5" x14ac:dyDescent="0.45">
      <c r="A14" s="47" t="s">
        <v>137</v>
      </c>
      <c r="B14" s="48" t="s">
        <v>138</v>
      </c>
      <c r="D14" s="49" t="s">
        <v>114</v>
      </c>
    </row>
    <row r="15" spans="1:4" ht="16.5" x14ac:dyDescent="0.45">
      <c r="A15" s="50" t="s">
        <v>139</v>
      </c>
      <c r="B15" s="51" t="s">
        <v>140</v>
      </c>
      <c r="D15" s="52" t="s">
        <v>114</v>
      </c>
    </row>
    <row r="16" spans="1:4" ht="16.5" x14ac:dyDescent="0.45">
      <c r="A16" s="53" t="s">
        <v>141</v>
      </c>
      <c r="B16" s="54" t="s">
        <v>142</v>
      </c>
      <c r="D16" s="55" t="s">
        <v>114</v>
      </c>
    </row>
    <row r="17" spans="1:4" ht="16.5" x14ac:dyDescent="0.45">
      <c r="A17" s="56" t="s">
        <v>143</v>
      </c>
      <c r="B17" s="57" t="s">
        <v>144</v>
      </c>
      <c r="D17" s="58" t="s">
        <v>114</v>
      </c>
    </row>
    <row r="18" spans="1:4" ht="16.5" x14ac:dyDescent="0.45">
      <c r="A18" s="59" t="s">
        <v>145</v>
      </c>
      <c r="B18" s="60" t="s">
        <v>146</v>
      </c>
      <c r="D18" s="61" t="s">
        <v>114</v>
      </c>
    </row>
    <row r="19" spans="1:4" ht="16.5" x14ac:dyDescent="0.45">
      <c r="A19" s="62" t="s">
        <v>147</v>
      </c>
      <c r="B19" s="63" t="s">
        <v>148</v>
      </c>
      <c r="D19" s="64" t="s">
        <v>114</v>
      </c>
    </row>
    <row r="20" spans="1:4" ht="16.5" x14ac:dyDescent="0.45">
      <c r="A20" s="65" t="s">
        <v>149</v>
      </c>
      <c r="B20" s="66" t="s">
        <v>150</v>
      </c>
      <c r="D20" s="67" t="s">
        <v>114</v>
      </c>
    </row>
    <row r="21" spans="1:4" ht="16.5" x14ac:dyDescent="0.45">
      <c r="A21" s="68" t="s">
        <v>151</v>
      </c>
      <c r="B21" s="69" t="s">
        <v>152</v>
      </c>
      <c r="D21" s="70" t="s">
        <v>114</v>
      </c>
    </row>
    <row r="22" spans="1:4" ht="148.5" x14ac:dyDescent="0.45">
      <c r="A22" s="71" t="s">
        <v>153</v>
      </c>
      <c r="B22" s="72" t="s">
        <v>11</v>
      </c>
      <c r="C22" s="73" t="s">
        <v>154</v>
      </c>
      <c r="D22" s="74" t="s">
        <v>114</v>
      </c>
    </row>
    <row r="23" spans="1:4" ht="33" x14ac:dyDescent="0.45">
      <c r="A23" s="75" t="s">
        <v>155</v>
      </c>
      <c r="B23" s="76" t="s">
        <v>156</v>
      </c>
      <c r="D23" s="77" t="s">
        <v>114</v>
      </c>
    </row>
    <row r="24" spans="1:4" ht="33" x14ac:dyDescent="0.45">
      <c r="A24" s="78" t="s">
        <v>157</v>
      </c>
      <c r="B24" s="79" t="s">
        <v>158</v>
      </c>
      <c r="D24" s="80" t="s">
        <v>114</v>
      </c>
    </row>
    <row r="25" spans="1:4" ht="33" x14ac:dyDescent="0.45">
      <c r="A25" s="81" t="s">
        <v>159</v>
      </c>
      <c r="B25" s="82" t="s">
        <v>160</v>
      </c>
      <c r="D25" s="83" t="s">
        <v>114</v>
      </c>
    </row>
    <row r="26" spans="1:4" ht="33" x14ac:dyDescent="0.45">
      <c r="A26" s="84" t="s">
        <v>161</v>
      </c>
      <c r="B26" s="85" t="s">
        <v>162</v>
      </c>
      <c r="D26" s="86" t="s">
        <v>114</v>
      </c>
    </row>
    <row r="27" spans="1:4" ht="33" x14ac:dyDescent="0.45">
      <c r="A27" s="87" t="s">
        <v>163</v>
      </c>
      <c r="B27" s="88" t="s">
        <v>164</v>
      </c>
      <c r="D27" s="89" t="s">
        <v>114</v>
      </c>
    </row>
    <row r="28" spans="1:4" ht="33" x14ac:dyDescent="0.45">
      <c r="A28" s="90" t="s">
        <v>165</v>
      </c>
      <c r="B28" s="91" t="s">
        <v>166</v>
      </c>
      <c r="D28" s="92" t="s">
        <v>114</v>
      </c>
    </row>
    <row r="29" spans="1:4" ht="33" x14ac:dyDescent="0.45">
      <c r="A29" s="93" t="s">
        <v>167</v>
      </c>
      <c r="B29" s="94" t="s">
        <v>168</v>
      </c>
      <c r="D29" s="95" t="s">
        <v>114</v>
      </c>
    </row>
    <row r="30" spans="1:4" ht="33" x14ac:dyDescent="0.45">
      <c r="A30" s="96" t="s">
        <v>169</v>
      </c>
      <c r="B30" s="97" t="s">
        <v>170</v>
      </c>
      <c r="D30" s="98" t="s">
        <v>114</v>
      </c>
    </row>
    <row r="31" spans="1:4" ht="33" x14ac:dyDescent="0.45">
      <c r="A31" s="99" t="s">
        <v>171</v>
      </c>
      <c r="B31" s="100" t="s">
        <v>172</v>
      </c>
      <c r="D31" s="101" t="s">
        <v>114</v>
      </c>
    </row>
    <row r="32" spans="1:4" ht="33" x14ac:dyDescent="0.45">
      <c r="A32" s="102" t="s">
        <v>173</v>
      </c>
      <c r="B32" s="103" t="s">
        <v>174</v>
      </c>
      <c r="D32" s="104" t="s">
        <v>114</v>
      </c>
    </row>
    <row r="33" spans="1:4" ht="33" x14ac:dyDescent="0.45">
      <c r="A33" s="105" t="s">
        <v>175</v>
      </c>
      <c r="B33" s="106" t="s">
        <v>176</v>
      </c>
      <c r="D33" s="107" t="s">
        <v>114</v>
      </c>
    </row>
    <row r="34" spans="1:4" ht="33" x14ac:dyDescent="0.45">
      <c r="A34" s="108" t="s">
        <v>177</v>
      </c>
      <c r="B34" s="109" t="s">
        <v>178</v>
      </c>
      <c r="D34" s="110" t="s">
        <v>114</v>
      </c>
    </row>
    <row r="35" spans="1:4" ht="33" x14ac:dyDescent="0.45">
      <c r="A35" s="111" t="s">
        <v>179</v>
      </c>
      <c r="B35" s="112" t="s">
        <v>180</v>
      </c>
      <c r="D35" s="113" t="s">
        <v>114</v>
      </c>
    </row>
    <row r="36" spans="1:4" ht="33" x14ac:dyDescent="0.45">
      <c r="A36" s="114" t="s">
        <v>181</v>
      </c>
      <c r="B36" s="115" t="s">
        <v>182</v>
      </c>
      <c r="D36" s="116" t="s">
        <v>114</v>
      </c>
    </row>
    <row r="37" spans="1:4" ht="33" x14ac:dyDescent="0.45">
      <c r="A37" s="117" t="s">
        <v>183</v>
      </c>
      <c r="B37" s="118" t="s">
        <v>184</v>
      </c>
      <c r="D37" s="119" t="s">
        <v>114</v>
      </c>
    </row>
    <row r="38" spans="1:4" ht="33" x14ac:dyDescent="0.45">
      <c r="A38" s="120" t="s">
        <v>185</v>
      </c>
      <c r="B38" s="121" t="s">
        <v>186</v>
      </c>
      <c r="D38" s="122" t="s">
        <v>114</v>
      </c>
    </row>
    <row r="39" spans="1:4" ht="33" x14ac:dyDescent="0.45">
      <c r="A39" s="123" t="s">
        <v>187</v>
      </c>
      <c r="B39" s="124" t="s">
        <v>188</v>
      </c>
      <c r="D39" s="125" t="s">
        <v>114</v>
      </c>
    </row>
    <row r="40" spans="1:4" ht="33" x14ac:dyDescent="0.45">
      <c r="A40" s="126" t="s">
        <v>189</v>
      </c>
      <c r="B40" s="127" t="s">
        <v>190</v>
      </c>
      <c r="D40" s="128" t="s">
        <v>114</v>
      </c>
    </row>
    <row r="41" spans="1:4" ht="33" x14ac:dyDescent="0.45">
      <c r="A41" s="129" t="s">
        <v>191</v>
      </c>
      <c r="B41" s="130" t="s">
        <v>192</v>
      </c>
      <c r="D41" s="131" t="s">
        <v>114</v>
      </c>
    </row>
    <row r="42" spans="1:4" ht="33" x14ac:dyDescent="0.45">
      <c r="A42" s="132" t="s">
        <v>193</v>
      </c>
      <c r="B42" s="133" t="s">
        <v>194</v>
      </c>
      <c r="D42" s="134" t="s">
        <v>114</v>
      </c>
    </row>
    <row r="43" spans="1:4" ht="33" x14ac:dyDescent="0.45">
      <c r="A43" s="135" t="s">
        <v>195</v>
      </c>
      <c r="B43" s="136" t="s">
        <v>196</v>
      </c>
      <c r="D43" s="137" t="s">
        <v>114</v>
      </c>
    </row>
    <row r="44" spans="1:4" ht="33" x14ac:dyDescent="0.45">
      <c r="A44" s="138" t="s">
        <v>197</v>
      </c>
      <c r="B44" s="139" t="s">
        <v>198</v>
      </c>
      <c r="D44" s="140" t="s">
        <v>114</v>
      </c>
    </row>
    <row r="45" spans="1:4" ht="33" x14ac:dyDescent="0.45">
      <c r="A45" s="141" t="s">
        <v>199</v>
      </c>
      <c r="B45" s="142" t="s">
        <v>200</v>
      </c>
      <c r="D45" s="143" t="s">
        <v>114</v>
      </c>
    </row>
    <row r="46" spans="1:4" ht="33" x14ac:dyDescent="0.45">
      <c r="A46" s="144" t="s">
        <v>201</v>
      </c>
      <c r="B46" s="145" t="s">
        <v>202</v>
      </c>
      <c r="D46" s="146" t="s">
        <v>114</v>
      </c>
    </row>
    <row r="47" spans="1:4" ht="33" x14ac:dyDescent="0.45">
      <c r="A47" s="147" t="s">
        <v>203</v>
      </c>
      <c r="B47" s="148" t="s">
        <v>204</v>
      </c>
      <c r="D47" s="149" t="s">
        <v>114</v>
      </c>
    </row>
    <row r="48" spans="1:4" ht="33" x14ac:dyDescent="0.45">
      <c r="A48" s="150" t="s">
        <v>205</v>
      </c>
      <c r="B48" s="151" t="s">
        <v>206</v>
      </c>
      <c r="D48" s="152" t="s">
        <v>114</v>
      </c>
    </row>
    <row r="49" spans="1:4" ht="33" x14ac:dyDescent="0.45">
      <c r="A49" s="153" t="s">
        <v>207</v>
      </c>
      <c r="B49" s="154" t="s">
        <v>208</v>
      </c>
      <c r="D49" s="155" t="s">
        <v>114</v>
      </c>
    </row>
    <row r="50" spans="1:4" ht="33" x14ac:dyDescent="0.45">
      <c r="A50" s="156" t="s">
        <v>209</v>
      </c>
      <c r="B50" s="157" t="s">
        <v>210</v>
      </c>
      <c r="D50" s="158" t="s">
        <v>114</v>
      </c>
    </row>
    <row r="51" spans="1:4" ht="33" x14ac:dyDescent="0.45">
      <c r="A51" s="159" t="s">
        <v>211</v>
      </c>
      <c r="B51" s="160" t="s">
        <v>212</v>
      </c>
      <c r="D51" s="161" t="s">
        <v>114</v>
      </c>
    </row>
    <row r="52" spans="1:4" ht="33" x14ac:dyDescent="0.45">
      <c r="A52" s="162" t="s">
        <v>213</v>
      </c>
      <c r="B52" s="163" t="s">
        <v>214</v>
      </c>
      <c r="D52" s="164" t="s">
        <v>114</v>
      </c>
    </row>
    <row r="53" spans="1:4" ht="33" x14ac:dyDescent="0.45">
      <c r="A53" s="165" t="s">
        <v>215</v>
      </c>
      <c r="B53" s="166" t="s">
        <v>216</v>
      </c>
      <c r="D53" s="167" t="s">
        <v>114</v>
      </c>
    </row>
    <row r="54" spans="1:4" ht="33" x14ac:dyDescent="0.45">
      <c r="A54" s="168" t="s">
        <v>217</v>
      </c>
      <c r="B54" s="169" t="s">
        <v>218</v>
      </c>
      <c r="D54" s="170" t="s">
        <v>114</v>
      </c>
    </row>
    <row r="55" spans="1:4" ht="33" x14ac:dyDescent="0.45">
      <c r="A55" s="171" t="s">
        <v>219</v>
      </c>
      <c r="B55" s="172" t="s">
        <v>220</v>
      </c>
      <c r="D55" s="173" t="s">
        <v>114</v>
      </c>
    </row>
    <row r="56" spans="1:4" ht="33" x14ac:dyDescent="0.45">
      <c r="A56" s="174" t="s">
        <v>221</v>
      </c>
      <c r="B56" s="175" t="s">
        <v>222</v>
      </c>
      <c r="D56" s="176" t="s">
        <v>114</v>
      </c>
    </row>
    <row r="57" spans="1:4" ht="33" x14ac:dyDescent="0.45">
      <c r="A57" s="177" t="s">
        <v>223</v>
      </c>
      <c r="B57" s="178" t="s">
        <v>224</v>
      </c>
      <c r="D57" s="179" t="s">
        <v>114</v>
      </c>
    </row>
    <row r="58" spans="1:4" ht="33" x14ac:dyDescent="0.45">
      <c r="A58" s="180" t="s">
        <v>225</v>
      </c>
      <c r="B58" s="181" t="s">
        <v>226</v>
      </c>
      <c r="D58" s="182" t="s">
        <v>114</v>
      </c>
    </row>
    <row r="59" spans="1:4" ht="33" x14ac:dyDescent="0.45">
      <c r="A59" s="183" t="s">
        <v>227</v>
      </c>
      <c r="B59" s="184" t="s">
        <v>228</v>
      </c>
      <c r="D59" s="185" t="s">
        <v>114</v>
      </c>
    </row>
    <row r="60" spans="1:4" ht="33" x14ac:dyDescent="0.45">
      <c r="A60" s="186" t="s">
        <v>229</v>
      </c>
      <c r="B60" s="187" t="s">
        <v>230</v>
      </c>
      <c r="D60" s="188" t="s">
        <v>114</v>
      </c>
    </row>
    <row r="61" spans="1:4" ht="33" x14ac:dyDescent="0.45">
      <c r="A61" s="189" t="s">
        <v>231</v>
      </c>
      <c r="B61" s="190" t="s">
        <v>232</v>
      </c>
      <c r="D61" s="191" t="s">
        <v>114</v>
      </c>
    </row>
    <row r="62" spans="1:4" ht="33" x14ac:dyDescent="0.45">
      <c r="A62" s="192" t="s">
        <v>233</v>
      </c>
      <c r="B62" s="193" t="s">
        <v>234</v>
      </c>
      <c r="D62" s="194" t="s">
        <v>114</v>
      </c>
    </row>
    <row r="63" spans="1:4" ht="33" x14ac:dyDescent="0.45">
      <c r="A63" s="195" t="s">
        <v>235</v>
      </c>
      <c r="B63" s="196" t="s">
        <v>236</v>
      </c>
      <c r="D63" s="197" t="s">
        <v>114</v>
      </c>
    </row>
    <row r="64" spans="1:4" ht="33" x14ac:dyDescent="0.45">
      <c r="A64" s="198" t="s">
        <v>237</v>
      </c>
      <c r="B64" s="199" t="s">
        <v>238</v>
      </c>
      <c r="D64" s="200" t="s">
        <v>114</v>
      </c>
    </row>
    <row r="65" spans="1:4" ht="33" x14ac:dyDescent="0.45">
      <c r="A65" s="201" t="s">
        <v>239</v>
      </c>
      <c r="B65" s="202" t="s">
        <v>240</v>
      </c>
      <c r="D65" s="203" t="s">
        <v>114</v>
      </c>
    </row>
    <row r="66" spans="1:4" ht="33" x14ac:dyDescent="0.45">
      <c r="A66" s="204" t="s">
        <v>241</v>
      </c>
      <c r="B66" s="205" t="s">
        <v>242</v>
      </c>
      <c r="D66" s="206" t="s">
        <v>114</v>
      </c>
    </row>
    <row r="67" spans="1:4" ht="33" x14ac:dyDescent="0.45">
      <c r="A67" s="207" t="s">
        <v>243</v>
      </c>
      <c r="B67" s="208" t="s">
        <v>244</v>
      </c>
      <c r="D67" s="209" t="s">
        <v>114</v>
      </c>
    </row>
    <row r="68" spans="1:4" ht="33" x14ac:dyDescent="0.45">
      <c r="A68" s="210" t="s">
        <v>245</v>
      </c>
      <c r="B68" s="211" t="s">
        <v>246</v>
      </c>
      <c r="D68" s="212" t="s">
        <v>114</v>
      </c>
    </row>
    <row r="69" spans="1:4" ht="33" x14ac:dyDescent="0.45">
      <c r="A69" s="213" t="s">
        <v>247</v>
      </c>
      <c r="B69" s="214" t="s">
        <v>248</v>
      </c>
      <c r="D69" s="215" t="s">
        <v>114</v>
      </c>
    </row>
    <row r="70" spans="1:4" ht="33" x14ac:dyDescent="0.45">
      <c r="A70" s="216" t="s">
        <v>249</v>
      </c>
      <c r="B70" s="217" t="s">
        <v>250</v>
      </c>
      <c r="D70" s="218" t="s">
        <v>114</v>
      </c>
    </row>
    <row r="71" spans="1:4" ht="33" x14ac:dyDescent="0.45">
      <c r="A71" s="219" t="s">
        <v>251</v>
      </c>
      <c r="B71" s="220" t="s">
        <v>252</v>
      </c>
      <c r="D71" s="221" t="s">
        <v>114</v>
      </c>
    </row>
    <row r="72" spans="1:4" ht="33" x14ac:dyDescent="0.45">
      <c r="A72" s="222" t="s">
        <v>253</v>
      </c>
      <c r="B72" s="223" t="s">
        <v>254</v>
      </c>
      <c r="D72" s="224" t="s">
        <v>114</v>
      </c>
    </row>
    <row r="73" spans="1:4" ht="33" x14ac:dyDescent="0.45">
      <c r="A73" s="225" t="s">
        <v>255</v>
      </c>
      <c r="B73" s="226" t="s">
        <v>256</v>
      </c>
      <c r="D73" s="227" t="s">
        <v>114</v>
      </c>
    </row>
    <row r="74" spans="1:4" ht="33" x14ac:dyDescent="0.45">
      <c r="A74" s="228" t="s">
        <v>257</v>
      </c>
      <c r="B74" s="229" t="s">
        <v>258</v>
      </c>
      <c r="D74" s="230" t="s">
        <v>114</v>
      </c>
    </row>
    <row r="75" spans="1:4" ht="33" x14ac:dyDescent="0.45">
      <c r="A75" s="231" t="s">
        <v>259</v>
      </c>
      <c r="B75" s="232" t="s">
        <v>260</v>
      </c>
      <c r="D75" s="233" t="s">
        <v>114</v>
      </c>
    </row>
    <row r="76" spans="1:4" ht="33" x14ac:dyDescent="0.45">
      <c r="A76" s="234" t="s">
        <v>261</v>
      </c>
      <c r="B76" s="235" t="s">
        <v>262</v>
      </c>
      <c r="D76" s="236" t="s">
        <v>114</v>
      </c>
    </row>
    <row r="77" spans="1:4" ht="33" x14ac:dyDescent="0.45">
      <c r="A77" s="237" t="s">
        <v>263</v>
      </c>
      <c r="B77" s="238" t="s">
        <v>264</v>
      </c>
      <c r="D77" s="239" t="s">
        <v>114</v>
      </c>
    </row>
    <row r="78" spans="1:4" ht="33" x14ac:dyDescent="0.45">
      <c r="A78" s="240" t="s">
        <v>265</v>
      </c>
      <c r="B78" s="241" t="s">
        <v>266</v>
      </c>
      <c r="D78" s="242" t="s">
        <v>114</v>
      </c>
    </row>
    <row r="79" spans="1:4" ht="33" x14ac:dyDescent="0.45">
      <c r="A79" s="243" t="s">
        <v>267</v>
      </c>
      <c r="B79" s="244" t="s">
        <v>268</v>
      </c>
      <c r="D79" s="245" t="s">
        <v>114</v>
      </c>
    </row>
    <row r="80" spans="1:4" ht="33" x14ac:dyDescent="0.45">
      <c r="A80" s="246" t="s">
        <v>269</v>
      </c>
      <c r="B80" s="247" t="s">
        <v>270</v>
      </c>
      <c r="D80" s="248" t="s">
        <v>114</v>
      </c>
    </row>
    <row r="81" spans="1:4" ht="33" x14ac:dyDescent="0.45">
      <c r="A81" s="249" t="s">
        <v>271</v>
      </c>
      <c r="B81" s="250" t="s">
        <v>272</v>
      </c>
      <c r="D81" s="251" t="s">
        <v>114</v>
      </c>
    </row>
    <row r="82" spans="1:4" ht="49.5" x14ac:dyDescent="0.45">
      <c r="A82" s="252" t="s">
        <v>273</v>
      </c>
      <c r="B82" s="253" t="s">
        <v>12</v>
      </c>
      <c r="C82" s="254" t="s">
        <v>274</v>
      </c>
      <c r="D82" s="255" t="s">
        <v>114</v>
      </c>
    </row>
    <row r="83" spans="1:4" ht="16.5" x14ac:dyDescent="0.45">
      <c r="A83" s="256" t="s">
        <v>275</v>
      </c>
      <c r="B83" s="257" t="s">
        <v>276</v>
      </c>
      <c r="D83" s="258" t="s">
        <v>114</v>
      </c>
    </row>
    <row r="84" spans="1:4" ht="33" x14ac:dyDescent="0.45">
      <c r="A84" s="259" t="s">
        <v>277</v>
      </c>
      <c r="B84" s="260" t="s">
        <v>278</v>
      </c>
      <c r="D84" s="261" t="s">
        <v>114</v>
      </c>
    </row>
    <row r="85" spans="1:4" ht="33" x14ac:dyDescent="0.45">
      <c r="A85" s="262" t="s">
        <v>279</v>
      </c>
      <c r="B85" s="263" t="s">
        <v>280</v>
      </c>
      <c r="D85" s="264" t="s">
        <v>114</v>
      </c>
    </row>
    <row r="86" spans="1:4" ht="33" x14ac:dyDescent="0.45">
      <c r="A86" s="265" t="s">
        <v>281</v>
      </c>
      <c r="B86" s="266" t="s">
        <v>282</v>
      </c>
      <c r="D86" s="267" t="s">
        <v>114</v>
      </c>
    </row>
    <row r="87" spans="1:4" ht="33" x14ac:dyDescent="0.45">
      <c r="A87" s="268" t="s">
        <v>283</v>
      </c>
      <c r="B87" s="269" t="s">
        <v>284</v>
      </c>
      <c r="D87" s="270" t="s">
        <v>114</v>
      </c>
    </row>
    <row r="88" spans="1:4" ht="33" x14ac:dyDescent="0.45">
      <c r="A88" s="271" t="s">
        <v>285</v>
      </c>
      <c r="B88" s="272" t="s">
        <v>286</v>
      </c>
      <c r="D88" s="273" t="s">
        <v>114</v>
      </c>
    </row>
    <row r="89" spans="1:4" ht="33" x14ac:dyDescent="0.45">
      <c r="A89" s="274" t="s">
        <v>287</v>
      </c>
      <c r="B89" s="275" t="s">
        <v>288</v>
      </c>
      <c r="D89" s="276" t="s">
        <v>114</v>
      </c>
    </row>
    <row r="90" spans="1:4" ht="33" x14ac:dyDescent="0.45">
      <c r="A90" s="277" t="s">
        <v>289</v>
      </c>
      <c r="B90" s="278" t="s">
        <v>290</v>
      </c>
      <c r="D90" s="279" t="s">
        <v>114</v>
      </c>
    </row>
    <row r="91" spans="1:4" ht="33" x14ac:dyDescent="0.45">
      <c r="A91" s="280" t="s">
        <v>291</v>
      </c>
      <c r="B91" s="281" t="s">
        <v>292</v>
      </c>
      <c r="D91" s="282" t="s">
        <v>114</v>
      </c>
    </row>
    <row r="92" spans="1:4" ht="33" x14ac:dyDescent="0.45">
      <c r="A92" s="283" t="s">
        <v>293</v>
      </c>
      <c r="B92" s="284" t="s">
        <v>294</v>
      </c>
      <c r="D92" s="285" t="s">
        <v>114</v>
      </c>
    </row>
    <row r="93" spans="1:4" ht="33" x14ac:dyDescent="0.45">
      <c r="A93" s="286" t="s">
        <v>295</v>
      </c>
      <c r="B93" s="287" t="s">
        <v>296</v>
      </c>
      <c r="D93" s="288" t="s">
        <v>114</v>
      </c>
    </row>
    <row r="94" spans="1:4" ht="16.5" x14ac:dyDescent="0.45">
      <c r="A94" s="289" t="s">
        <v>297</v>
      </c>
      <c r="B94" s="290" t="s">
        <v>298</v>
      </c>
      <c r="D94" s="291" t="s">
        <v>114</v>
      </c>
    </row>
    <row r="95" spans="1:4" ht="16.5" x14ac:dyDescent="0.45">
      <c r="A95" s="292" t="s">
        <v>299</v>
      </c>
      <c r="B95" s="293" t="s">
        <v>300</v>
      </c>
      <c r="D95" s="294" t="s">
        <v>114</v>
      </c>
    </row>
    <row r="96" spans="1:4" ht="33" x14ac:dyDescent="0.45">
      <c r="A96" s="295" t="s">
        <v>301</v>
      </c>
      <c r="B96" s="296" t="s">
        <v>302</v>
      </c>
      <c r="D96" s="297" t="s">
        <v>114</v>
      </c>
    </row>
    <row r="97" spans="1:4" ht="66" x14ac:dyDescent="0.45">
      <c r="A97" s="298" t="s">
        <v>303</v>
      </c>
      <c r="B97" s="299" t="s">
        <v>13</v>
      </c>
      <c r="C97" s="300" t="s">
        <v>304</v>
      </c>
      <c r="D97" s="301" t="s">
        <v>114</v>
      </c>
    </row>
    <row r="98" spans="1:4" ht="33" x14ac:dyDescent="0.45">
      <c r="A98" s="302" t="s">
        <v>305</v>
      </c>
      <c r="B98" s="303" t="s">
        <v>306</v>
      </c>
      <c r="C98" s="304" t="s">
        <v>307</v>
      </c>
      <c r="D98" s="305" t="s">
        <v>114</v>
      </c>
    </row>
    <row r="99" spans="1:4" ht="33" x14ac:dyDescent="0.45">
      <c r="A99" s="306" t="s">
        <v>308</v>
      </c>
      <c r="B99" s="307" t="s">
        <v>309</v>
      </c>
      <c r="D99" s="308" t="s">
        <v>114</v>
      </c>
    </row>
    <row r="100" spans="1:4" ht="33" x14ac:dyDescent="0.45">
      <c r="A100" s="309" t="s">
        <v>310</v>
      </c>
      <c r="B100" s="310" t="s">
        <v>311</v>
      </c>
      <c r="D100" s="311" t="s">
        <v>114</v>
      </c>
    </row>
    <row r="101" spans="1:4" ht="33" x14ac:dyDescent="0.45">
      <c r="A101" s="312" t="s">
        <v>312</v>
      </c>
      <c r="B101" s="313" t="s">
        <v>313</v>
      </c>
      <c r="D101" s="314" t="s">
        <v>114</v>
      </c>
    </row>
    <row r="102" spans="1:4" ht="33" x14ac:dyDescent="0.45">
      <c r="A102" s="315" t="s">
        <v>314</v>
      </c>
      <c r="B102" s="316" t="s">
        <v>315</v>
      </c>
      <c r="D102" s="317" t="s">
        <v>114</v>
      </c>
    </row>
    <row r="103" spans="1:4" ht="33" x14ac:dyDescent="0.45">
      <c r="A103" s="318" t="s">
        <v>316</v>
      </c>
      <c r="B103" s="319" t="s">
        <v>317</v>
      </c>
      <c r="D103" s="320" t="s">
        <v>114</v>
      </c>
    </row>
    <row r="104" spans="1:4" ht="33" x14ac:dyDescent="0.45">
      <c r="A104" s="321" t="s">
        <v>318</v>
      </c>
      <c r="B104" s="322" t="s">
        <v>319</v>
      </c>
      <c r="D104" s="323" t="s">
        <v>114</v>
      </c>
    </row>
    <row r="105" spans="1:4" ht="33" x14ac:dyDescent="0.45">
      <c r="A105" s="324" t="s">
        <v>320</v>
      </c>
      <c r="B105" s="325" t="s">
        <v>321</v>
      </c>
      <c r="D105" s="326" t="s">
        <v>114</v>
      </c>
    </row>
    <row r="106" spans="1:4" ht="33" x14ac:dyDescent="0.45">
      <c r="A106" s="327" t="s">
        <v>322</v>
      </c>
      <c r="B106" s="328" t="s">
        <v>323</v>
      </c>
      <c r="D106" s="329" t="s">
        <v>114</v>
      </c>
    </row>
    <row r="107" spans="1:4" ht="33" x14ac:dyDescent="0.45">
      <c r="A107" s="330" t="s">
        <v>324</v>
      </c>
      <c r="B107" s="331" t="s">
        <v>325</v>
      </c>
      <c r="D107" s="332" t="s">
        <v>114</v>
      </c>
    </row>
    <row r="108" spans="1:4" ht="16.5" x14ac:dyDescent="0.45">
      <c r="A108" s="333" t="s">
        <v>326</v>
      </c>
      <c r="B108" s="334" t="s">
        <v>327</v>
      </c>
      <c r="C108" s="335" t="s">
        <v>328</v>
      </c>
      <c r="D108" s="336" t="s">
        <v>114</v>
      </c>
    </row>
    <row r="109" spans="1:4" ht="16.5" x14ac:dyDescent="0.45">
      <c r="A109" s="337" t="s">
        <v>329</v>
      </c>
      <c r="B109" s="338" t="s">
        <v>330</v>
      </c>
      <c r="D109" s="339" t="s">
        <v>114</v>
      </c>
    </row>
    <row r="110" spans="1:4" ht="16.5" x14ac:dyDescent="0.45">
      <c r="A110" s="340" t="s">
        <v>331</v>
      </c>
      <c r="B110" s="341" t="s">
        <v>332</v>
      </c>
      <c r="D110" s="342" t="s">
        <v>114</v>
      </c>
    </row>
    <row r="111" spans="1:4" ht="66" x14ac:dyDescent="0.45">
      <c r="A111" s="343" t="s">
        <v>333</v>
      </c>
      <c r="B111" s="344" t="s">
        <v>334</v>
      </c>
      <c r="C111" s="345" t="s">
        <v>335</v>
      </c>
      <c r="D111" s="346" t="s">
        <v>114</v>
      </c>
    </row>
    <row r="112" spans="1:4" ht="33" x14ac:dyDescent="0.45">
      <c r="A112" s="347" t="s">
        <v>336</v>
      </c>
      <c r="B112" s="348" t="s">
        <v>337</v>
      </c>
      <c r="D112" s="349" t="s">
        <v>114</v>
      </c>
    </row>
    <row r="113" spans="1:4" ht="33" x14ac:dyDescent="0.45">
      <c r="A113" s="350" t="s">
        <v>338</v>
      </c>
      <c r="B113" s="351" t="s">
        <v>339</v>
      </c>
      <c r="D113" s="352" t="s">
        <v>114</v>
      </c>
    </row>
    <row r="114" spans="1:4" ht="33" x14ac:dyDescent="0.45">
      <c r="A114" s="353" t="s">
        <v>340</v>
      </c>
      <c r="B114" s="354" t="s">
        <v>341</v>
      </c>
      <c r="D114" s="355" t="s">
        <v>114</v>
      </c>
    </row>
    <row r="115" spans="1:4" ht="33" x14ac:dyDescent="0.45">
      <c r="A115" s="356" t="s">
        <v>342</v>
      </c>
      <c r="B115" s="357" t="s">
        <v>343</v>
      </c>
      <c r="D115" s="358" t="s">
        <v>114</v>
      </c>
    </row>
    <row r="116" spans="1:4" ht="33" x14ac:dyDescent="0.45">
      <c r="A116" s="359" t="s">
        <v>344</v>
      </c>
      <c r="B116" s="360" t="s">
        <v>345</v>
      </c>
      <c r="D116" s="361" t="s">
        <v>114</v>
      </c>
    </row>
    <row r="117" spans="1:4" ht="33" x14ac:dyDescent="0.45">
      <c r="A117" s="362" t="s">
        <v>346</v>
      </c>
      <c r="B117" s="363" t="s">
        <v>347</v>
      </c>
      <c r="D117" s="364" t="s">
        <v>114</v>
      </c>
    </row>
    <row r="118" spans="1:4" ht="33" x14ac:dyDescent="0.45">
      <c r="A118" s="365" t="s">
        <v>348</v>
      </c>
      <c r="B118" s="366" t="s">
        <v>349</v>
      </c>
      <c r="D118" s="367" t="s">
        <v>114</v>
      </c>
    </row>
    <row r="119" spans="1:4" ht="33" x14ac:dyDescent="0.45">
      <c r="A119" s="368" t="s">
        <v>350</v>
      </c>
      <c r="B119" s="369" t="s">
        <v>351</v>
      </c>
      <c r="D119" s="370" t="s">
        <v>114</v>
      </c>
    </row>
    <row r="120" spans="1:4" ht="33" x14ac:dyDescent="0.45">
      <c r="A120" s="371" t="s">
        <v>352</v>
      </c>
      <c r="B120" s="372" t="s">
        <v>353</v>
      </c>
      <c r="D120" s="373" t="s">
        <v>114</v>
      </c>
    </row>
    <row r="121" spans="1:4" ht="33" x14ac:dyDescent="0.45">
      <c r="A121" s="374" t="s">
        <v>354</v>
      </c>
      <c r="B121" s="375" t="s">
        <v>355</v>
      </c>
      <c r="D121" s="376" t="s">
        <v>114</v>
      </c>
    </row>
    <row r="122" spans="1:4" ht="33" x14ac:dyDescent="0.45">
      <c r="A122" s="377" t="s">
        <v>356</v>
      </c>
      <c r="B122" s="378" t="s">
        <v>357</v>
      </c>
      <c r="D122" s="379" t="s">
        <v>114</v>
      </c>
    </row>
    <row r="123" spans="1:4" ht="33" x14ac:dyDescent="0.45">
      <c r="A123" s="380" t="s">
        <v>358</v>
      </c>
      <c r="B123" s="381" t="s">
        <v>359</v>
      </c>
      <c r="D123" s="382" t="s">
        <v>114</v>
      </c>
    </row>
    <row r="124" spans="1:4" ht="33" x14ac:dyDescent="0.45">
      <c r="A124" s="383" t="s">
        <v>360</v>
      </c>
      <c r="B124" s="384" t="s">
        <v>361</v>
      </c>
      <c r="D124" s="385" t="s">
        <v>114</v>
      </c>
    </row>
    <row r="125" spans="1:4" ht="33" x14ac:dyDescent="0.45">
      <c r="A125" s="386" t="s">
        <v>362</v>
      </c>
      <c r="B125" s="387" t="s">
        <v>363</v>
      </c>
      <c r="D125" s="388" t="s">
        <v>114</v>
      </c>
    </row>
    <row r="126" spans="1:4" ht="33" x14ac:dyDescent="0.45">
      <c r="A126" s="389" t="s">
        <v>364</v>
      </c>
      <c r="B126" s="390" t="s">
        <v>365</v>
      </c>
      <c r="D126" s="391" t="s">
        <v>114</v>
      </c>
    </row>
    <row r="127" spans="1:4" ht="33" x14ac:dyDescent="0.45">
      <c r="A127" s="392" t="s">
        <v>366</v>
      </c>
      <c r="B127" s="393" t="s">
        <v>367</v>
      </c>
      <c r="D127" s="394" t="s">
        <v>114</v>
      </c>
    </row>
    <row r="128" spans="1:4" ht="33" x14ac:dyDescent="0.45">
      <c r="A128" s="395" t="s">
        <v>368</v>
      </c>
      <c r="B128" s="396" t="s">
        <v>369</v>
      </c>
      <c r="D128" s="397" t="s">
        <v>114</v>
      </c>
    </row>
    <row r="129" spans="1:4" ht="33" x14ac:dyDescent="0.45">
      <c r="A129" s="398" t="s">
        <v>370</v>
      </c>
      <c r="B129" s="399" t="s">
        <v>371</v>
      </c>
      <c r="D129" s="400" t="s">
        <v>114</v>
      </c>
    </row>
    <row r="130" spans="1:4" ht="16.5" x14ac:dyDescent="0.45">
      <c r="A130" s="401" t="s">
        <v>372</v>
      </c>
      <c r="B130" s="402" t="s">
        <v>373</v>
      </c>
      <c r="C130" s="403" t="s">
        <v>374</v>
      </c>
      <c r="D130" s="404" t="s">
        <v>114</v>
      </c>
    </row>
    <row r="131" spans="1:4" ht="16.5" x14ac:dyDescent="0.45">
      <c r="A131" s="405" t="s">
        <v>329</v>
      </c>
      <c r="B131" s="406" t="s">
        <v>330</v>
      </c>
      <c r="D131" s="407" t="s">
        <v>114</v>
      </c>
    </row>
    <row r="132" spans="1:4" ht="16.5" x14ac:dyDescent="0.45">
      <c r="A132" s="408" t="s">
        <v>331</v>
      </c>
      <c r="B132" s="409" t="s">
        <v>332</v>
      </c>
      <c r="D132" s="410" t="s">
        <v>114</v>
      </c>
    </row>
    <row r="133" spans="1:4" ht="16.5" x14ac:dyDescent="0.45">
      <c r="A133" s="411" t="s">
        <v>299</v>
      </c>
      <c r="B133" s="412" t="s">
        <v>300</v>
      </c>
      <c r="D133" s="413" t="s">
        <v>114</v>
      </c>
    </row>
    <row r="134" spans="1:4" ht="82.5" x14ac:dyDescent="0.45">
      <c r="A134" s="414" t="s">
        <v>375</v>
      </c>
      <c r="B134" s="415" t="s">
        <v>376</v>
      </c>
      <c r="C134" s="416" t="s">
        <v>377</v>
      </c>
      <c r="D134" s="417" t="s">
        <v>114</v>
      </c>
    </row>
    <row r="135" spans="1:4" ht="16.5" x14ac:dyDescent="0.45">
      <c r="A135" s="418" t="s">
        <v>329</v>
      </c>
      <c r="B135" s="419" t="s">
        <v>330</v>
      </c>
      <c r="D135" s="420" t="s">
        <v>114</v>
      </c>
    </row>
    <row r="136" spans="1:4" ht="33" x14ac:dyDescent="0.45">
      <c r="A136" s="421" t="s">
        <v>336</v>
      </c>
      <c r="B136" s="422" t="s">
        <v>337</v>
      </c>
      <c r="D136" s="423" t="s">
        <v>114</v>
      </c>
    </row>
    <row r="137" spans="1:4" ht="33" x14ac:dyDescent="0.45">
      <c r="A137" s="424" t="s">
        <v>338</v>
      </c>
      <c r="B137" s="425" t="s">
        <v>339</v>
      </c>
      <c r="D137" s="426" t="s">
        <v>114</v>
      </c>
    </row>
    <row r="138" spans="1:4" ht="33" x14ac:dyDescent="0.45">
      <c r="A138" s="427" t="s">
        <v>340</v>
      </c>
      <c r="B138" s="428" t="s">
        <v>341</v>
      </c>
      <c r="D138" s="429" t="s">
        <v>114</v>
      </c>
    </row>
    <row r="139" spans="1:4" ht="33" x14ac:dyDescent="0.45">
      <c r="A139" s="430" t="s">
        <v>342</v>
      </c>
      <c r="B139" s="431" t="s">
        <v>343</v>
      </c>
      <c r="D139" s="432" t="s">
        <v>114</v>
      </c>
    </row>
    <row r="140" spans="1:4" ht="33" x14ac:dyDescent="0.45">
      <c r="A140" s="433" t="s">
        <v>344</v>
      </c>
      <c r="B140" s="434" t="s">
        <v>345</v>
      </c>
      <c r="D140" s="435" t="s">
        <v>114</v>
      </c>
    </row>
    <row r="141" spans="1:4" ht="33" x14ac:dyDescent="0.45">
      <c r="A141" s="436" t="s">
        <v>346</v>
      </c>
      <c r="B141" s="437" t="s">
        <v>347</v>
      </c>
      <c r="D141" s="438" t="s">
        <v>114</v>
      </c>
    </row>
    <row r="142" spans="1:4" ht="33" x14ac:dyDescent="0.45">
      <c r="A142" s="439" t="s">
        <v>348</v>
      </c>
      <c r="B142" s="440" t="s">
        <v>349</v>
      </c>
      <c r="D142" s="441" t="s">
        <v>114</v>
      </c>
    </row>
    <row r="143" spans="1:4" ht="33" x14ac:dyDescent="0.45">
      <c r="A143" s="442" t="s">
        <v>350</v>
      </c>
      <c r="B143" s="443" t="s">
        <v>351</v>
      </c>
      <c r="D143" s="444" t="s">
        <v>114</v>
      </c>
    </row>
    <row r="144" spans="1:4" ht="33" x14ac:dyDescent="0.45">
      <c r="A144" s="445" t="s">
        <v>352</v>
      </c>
      <c r="B144" s="446" t="s">
        <v>353</v>
      </c>
      <c r="D144" s="447" t="s">
        <v>114</v>
      </c>
    </row>
    <row r="145" spans="1:4" ht="33" x14ac:dyDescent="0.45">
      <c r="A145" s="448" t="s">
        <v>354</v>
      </c>
      <c r="B145" s="449" t="s">
        <v>355</v>
      </c>
      <c r="D145" s="450" t="s">
        <v>114</v>
      </c>
    </row>
    <row r="146" spans="1:4" ht="33" x14ac:dyDescent="0.45">
      <c r="A146" s="451" t="s">
        <v>356</v>
      </c>
      <c r="B146" s="452" t="s">
        <v>357</v>
      </c>
      <c r="D146" s="453" t="s">
        <v>114</v>
      </c>
    </row>
    <row r="147" spans="1:4" ht="33" x14ac:dyDescent="0.45">
      <c r="A147" s="454" t="s">
        <v>358</v>
      </c>
      <c r="B147" s="455" t="s">
        <v>359</v>
      </c>
      <c r="D147" s="456" t="s">
        <v>114</v>
      </c>
    </row>
    <row r="148" spans="1:4" ht="33" x14ac:dyDescent="0.45">
      <c r="A148" s="457" t="s">
        <v>360</v>
      </c>
      <c r="B148" s="458" t="s">
        <v>361</v>
      </c>
      <c r="D148" s="459" t="s">
        <v>114</v>
      </c>
    </row>
    <row r="149" spans="1:4" ht="33" x14ac:dyDescent="0.45">
      <c r="A149" s="460" t="s">
        <v>362</v>
      </c>
      <c r="B149" s="461" t="s">
        <v>363</v>
      </c>
      <c r="D149" s="462" t="s">
        <v>114</v>
      </c>
    </row>
    <row r="150" spans="1:4" ht="33" x14ac:dyDescent="0.45">
      <c r="A150" s="463" t="s">
        <v>364</v>
      </c>
      <c r="B150" s="464" t="s">
        <v>365</v>
      </c>
      <c r="D150" s="465" t="s">
        <v>114</v>
      </c>
    </row>
    <row r="151" spans="1:4" ht="33" x14ac:dyDescent="0.45">
      <c r="A151" s="466" t="s">
        <v>366</v>
      </c>
      <c r="B151" s="467" t="s">
        <v>367</v>
      </c>
      <c r="D151" s="468" t="s">
        <v>114</v>
      </c>
    </row>
    <row r="152" spans="1:4" ht="33" x14ac:dyDescent="0.45">
      <c r="A152" s="469" t="s">
        <v>368</v>
      </c>
      <c r="B152" s="470" t="s">
        <v>369</v>
      </c>
      <c r="D152" s="471" t="s">
        <v>114</v>
      </c>
    </row>
    <row r="153" spans="1:4" ht="33" x14ac:dyDescent="0.45">
      <c r="A153" s="472" t="s">
        <v>370</v>
      </c>
      <c r="B153" s="473" t="s">
        <v>371</v>
      </c>
      <c r="D153" s="474" t="s">
        <v>114</v>
      </c>
    </row>
    <row r="154" spans="1:4" ht="16.5" x14ac:dyDescent="0.45">
      <c r="A154" s="475" t="s">
        <v>331</v>
      </c>
      <c r="B154" s="476" t="s">
        <v>332</v>
      </c>
      <c r="D154" s="477" t="s">
        <v>114</v>
      </c>
    </row>
    <row r="155" spans="1:4" ht="33" x14ac:dyDescent="0.45">
      <c r="A155" s="478" t="s">
        <v>378</v>
      </c>
      <c r="B155" s="479" t="s">
        <v>379</v>
      </c>
      <c r="D155" s="480" t="s">
        <v>114</v>
      </c>
    </row>
    <row r="156" spans="1:4" ht="33" x14ac:dyDescent="0.45">
      <c r="A156" s="481" t="s">
        <v>380</v>
      </c>
      <c r="B156" s="482" t="s">
        <v>381</v>
      </c>
      <c r="D156" s="483" t="s">
        <v>114</v>
      </c>
    </row>
    <row r="157" spans="1:4" ht="33" x14ac:dyDescent="0.45">
      <c r="A157" s="484" t="s">
        <v>382</v>
      </c>
      <c r="B157" s="485" t="s">
        <v>383</v>
      </c>
      <c r="D157" s="486" t="s">
        <v>114</v>
      </c>
    </row>
    <row r="158" spans="1:4" ht="33" x14ac:dyDescent="0.45">
      <c r="A158" s="487" t="s">
        <v>384</v>
      </c>
      <c r="B158" s="488" t="s">
        <v>385</v>
      </c>
      <c r="D158" s="489" t="s">
        <v>114</v>
      </c>
    </row>
    <row r="159" spans="1:4" ht="33" x14ac:dyDescent="0.45">
      <c r="A159" s="490" t="s">
        <v>386</v>
      </c>
      <c r="B159" s="491" t="s">
        <v>387</v>
      </c>
      <c r="D159" s="492" t="s">
        <v>114</v>
      </c>
    </row>
    <row r="160" spans="1:4" ht="33" x14ac:dyDescent="0.45">
      <c r="A160" s="493" t="s">
        <v>388</v>
      </c>
      <c r="B160" s="494" t="s">
        <v>389</v>
      </c>
      <c r="D160" s="495" t="s">
        <v>114</v>
      </c>
    </row>
    <row r="161" spans="1:4" ht="33" x14ac:dyDescent="0.45">
      <c r="A161" s="496" t="s">
        <v>390</v>
      </c>
      <c r="B161" s="497" t="s">
        <v>391</v>
      </c>
      <c r="D161" s="498" t="s">
        <v>114</v>
      </c>
    </row>
    <row r="162" spans="1:4" ht="33" x14ac:dyDescent="0.45">
      <c r="A162" s="499" t="s">
        <v>392</v>
      </c>
      <c r="B162" s="500" t="s">
        <v>393</v>
      </c>
      <c r="D162" s="501" t="s">
        <v>114</v>
      </c>
    </row>
    <row r="163" spans="1:4" ht="33" x14ac:dyDescent="0.45">
      <c r="A163" s="502" t="s">
        <v>394</v>
      </c>
      <c r="B163" s="503" t="s">
        <v>395</v>
      </c>
      <c r="D163" s="504" t="s">
        <v>114</v>
      </c>
    </row>
    <row r="164" spans="1:4" ht="33" x14ac:dyDescent="0.45">
      <c r="A164" s="505" t="s">
        <v>396</v>
      </c>
      <c r="B164" s="506" t="s">
        <v>397</v>
      </c>
      <c r="D164" s="507" t="s">
        <v>114</v>
      </c>
    </row>
    <row r="165" spans="1:4" ht="115.5" x14ac:dyDescent="0.45">
      <c r="A165" s="508" t="s">
        <v>398</v>
      </c>
      <c r="B165" s="509" t="s">
        <v>14</v>
      </c>
      <c r="C165" s="510" t="s">
        <v>399</v>
      </c>
      <c r="D165" s="511" t="s">
        <v>114</v>
      </c>
    </row>
    <row r="166" spans="1:4" ht="33" x14ac:dyDescent="0.45">
      <c r="A166" s="512" t="s">
        <v>400</v>
      </c>
      <c r="B166" s="513" t="s">
        <v>401</v>
      </c>
      <c r="D166" s="514" t="s">
        <v>114</v>
      </c>
    </row>
    <row r="167" spans="1:4" ht="33" x14ac:dyDescent="0.45">
      <c r="A167" s="515" t="s">
        <v>312</v>
      </c>
      <c r="B167" s="516" t="s">
        <v>313</v>
      </c>
      <c r="D167" s="517" t="s">
        <v>114</v>
      </c>
    </row>
    <row r="168" spans="1:4" ht="33" x14ac:dyDescent="0.45">
      <c r="A168" s="518" t="s">
        <v>314</v>
      </c>
      <c r="B168" s="519" t="s">
        <v>315</v>
      </c>
      <c r="D168" s="520" t="s">
        <v>114</v>
      </c>
    </row>
    <row r="169" spans="1:4" ht="33" x14ac:dyDescent="0.45">
      <c r="A169" s="521" t="s">
        <v>402</v>
      </c>
      <c r="B169" s="522" t="s">
        <v>403</v>
      </c>
      <c r="D169" s="523" t="s">
        <v>114</v>
      </c>
    </row>
    <row r="170" spans="1:4" ht="33" x14ac:dyDescent="0.45">
      <c r="A170" s="524" t="s">
        <v>346</v>
      </c>
      <c r="B170" s="525" t="s">
        <v>347</v>
      </c>
      <c r="D170" s="526" t="s">
        <v>114</v>
      </c>
    </row>
    <row r="171" spans="1:4" ht="33" x14ac:dyDescent="0.45">
      <c r="A171" s="527" t="s">
        <v>348</v>
      </c>
      <c r="B171" s="528" t="s">
        <v>349</v>
      </c>
      <c r="D171" s="529" t="s">
        <v>114</v>
      </c>
    </row>
    <row r="172" spans="1:4" ht="33" x14ac:dyDescent="0.45">
      <c r="A172" s="530" t="s">
        <v>350</v>
      </c>
      <c r="B172" s="531" t="s">
        <v>351</v>
      </c>
      <c r="D172" s="532" t="s">
        <v>114</v>
      </c>
    </row>
    <row r="173" spans="1:4" ht="33" x14ac:dyDescent="0.45">
      <c r="A173" s="533" t="s">
        <v>352</v>
      </c>
      <c r="B173" s="534" t="s">
        <v>353</v>
      </c>
      <c r="D173" s="535" t="s">
        <v>114</v>
      </c>
    </row>
    <row r="174" spans="1:4" ht="33" x14ac:dyDescent="0.45">
      <c r="A174" s="536" t="s">
        <v>404</v>
      </c>
      <c r="B174" s="537" t="s">
        <v>405</v>
      </c>
      <c r="D174" s="538" t="s">
        <v>114</v>
      </c>
    </row>
    <row r="175" spans="1:4" ht="33" x14ac:dyDescent="0.45">
      <c r="A175" s="539" t="s">
        <v>354</v>
      </c>
      <c r="B175" s="540" t="s">
        <v>355</v>
      </c>
      <c r="D175" s="541" t="s">
        <v>114</v>
      </c>
    </row>
    <row r="176" spans="1:4" ht="33" x14ac:dyDescent="0.45">
      <c r="A176" s="542" t="s">
        <v>356</v>
      </c>
      <c r="B176" s="543" t="s">
        <v>357</v>
      </c>
      <c r="D176" s="544" t="s">
        <v>114</v>
      </c>
    </row>
    <row r="177" spans="1:4" ht="33" x14ac:dyDescent="0.45">
      <c r="A177" s="545" t="s">
        <v>362</v>
      </c>
      <c r="B177" s="546" t="s">
        <v>363</v>
      </c>
      <c r="D177" s="547" t="s">
        <v>114</v>
      </c>
    </row>
    <row r="178" spans="1:4" ht="33" x14ac:dyDescent="0.45">
      <c r="A178" s="548" t="s">
        <v>364</v>
      </c>
      <c r="B178" s="549" t="s">
        <v>365</v>
      </c>
      <c r="D178" s="550" t="s">
        <v>114</v>
      </c>
    </row>
    <row r="179" spans="1:4" ht="33" x14ac:dyDescent="0.45">
      <c r="A179" s="551" t="s">
        <v>366</v>
      </c>
      <c r="B179" s="552" t="s">
        <v>367</v>
      </c>
      <c r="D179" s="553" t="s">
        <v>114</v>
      </c>
    </row>
    <row r="180" spans="1:4" ht="33" x14ac:dyDescent="0.45">
      <c r="A180" s="554" t="s">
        <v>368</v>
      </c>
      <c r="B180" s="555" t="s">
        <v>369</v>
      </c>
      <c r="D180" s="556" t="s">
        <v>114</v>
      </c>
    </row>
    <row r="181" spans="1:4" ht="33" x14ac:dyDescent="0.45">
      <c r="A181" s="557" t="s">
        <v>406</v>
      </c>
      <c r="B181" s="558" t="s">
        <v>407</v>
      </c>
      <c r="D181" s="559" t="s">
        <v>114</v>
      </c>
    </row>
    <row r="182" spans="1:4" ht="33" x14ac:dyDescent="0.45">
      <c r="A182" s="560" t="s">
        <v>308</v>
      </c>
      <c r="B182" s="561" t="s">
        <v>309</v>
      </c>
      <c r="D182" s="562" t="s">
        <v>114</v>
      </c>
    </row>
    <row r="183" spans="1:4" ht="33" x14ac:dyDescent="0.45">
      <c r="A183" s="563" t="s">
        <v>408</v>
      </c>
      <c r="B183" s="564" t="s">
        <v>409</v>
      </c>
      <c r="D183" s="565" t="s">
        <v>114</v>
      </c>
    </row>
    <row r="184" spans="1:4" ht="33" x14ac:dyDescent="0.45">
      <c r="A184" s="566" t="s">
        <v>310</v>
      </c>
      <c r="B184" s="567" t="s">
        <v>311</v>
      </c>
      <c r="D184" s="568" t="s">
        <v>114</v>
      </c>
    </row>
    <row r="185" spans="1:4" ht="33" x14ac:dyDescent="0.45">
      <c r="A185" s="569" t="s">
        <v>410</v>
      </c>
      <c r="B185" s="570" t="s">
        <v>411</v>
      </c>
      <c r="D185" s="571" t="s">
        <v>114</v>
      </c>
    </row>
    <row r="186" spans="1:4" ht="33" x14ac:dyDescent="0.45">
      <c r="A186" s="572" t="s">
        <v>336</v>
      </c>
      <c r="B186" s="573" t="s">
        <v>337</v>
      </c>
      <c r="D186" s="574" t="s">
        <v>114</v>
      </c>
    </row>
    <row r="187" spans="1:4" ht="33" x14ac:dyDescent="0.45">
      <c r="A187" s="575" t="s">
        <v>338</v>
      </c>
      <c r="B187" s="576" t="s">
        <v>339</v>
      </c>
      <c r="D187" s="577" t="s">
        <v>114</v>
      </c>
    </row>
    <row r="188" spans="1:4" ht="33" x14ac:dyDescent="0.45">
      <c r="A188" s="578" t="s">
        <v>316</v>
      </c>
      <c r="B188" s="579" t="s">
        <v>317</v>
      </c>
      <c r="D188" s="580" t="s">
        <v>114</v>
      </c>
    </row>
    <row r="189" spans="1:4" ht="33" x14ac:dyDescent="0.45">
      <c r="A189" s="581" t="s">
        <v>340</v>
      </c>
      <c r="B189" s="582" t="s">
        <v>341</v>
      </c>
      <c r="D189" s="583" t="s">
        <v>114</v>
      </c>
    </row>
    <row r="190" spans="1:4" ht="33" x14ac:dyDescent="0.45">
      <c r="A190" s="584" t="s">
        <v>342</v>
      </c>
      <c r="B190" s="585" t="s">
        <v>343</v>
      </c>
      <c r="D190" s="586" t="s">
        <v>114</v>
      </c>
    </row>
    <row r="191" spans="1:4" ht="33" x14ac:dyDescent="0.45">
      <c r="A191" s="587" t="s">
        <v>318</v>
      </c>
      <c r="B191" s="588" t="s">
        <v>319</v>
      </c>
      <c r="D191" s="589" t="s">
        <v>114</v>
      </c>
    </row>
    <row r="192" spans="1:4" ht="33" x14ac:dyDescent="0.45">
      <c r="A192" s="590" t="s">
        <v>344</v>
      </c>
      <c r="B192" s="591" t="s">
        <v>345</v>
      </c>
      <c r="D192" s="592" t="s">
        <v>114</v>
      </c>
    </row>
    <row r="193" spans="1:4" ht="33" x14ac:dyDescent="0.45">
      <c r="A193" s="593" t="s">
        <v>412</v>
      </c>
      <c r="B193" s="594" t="s">
        <v>413</v>
      </c>
      <c r="D193" s="595" t="s">
        <v>114</v>
      </c>
    </row>
    <row r="194" spans="1:4" ht="33" x14ac:dyDescent="0.45">
      <c r="A194" s="596" t="s">
        <v>320</v>
      </c>
      <c r="B194" s="597" t="s">
        <v>321</v>
      </c>
      <c r="D194" s="598" t="s">
        <v>114</v>
      </c>
    </row>
    <row r="195" spans="1:4" ht="33" x14ac:dyDescent="0.45">
      <c r="A195" s="599" t="s">
        <v>322</v>
      </c>
      <c r="B195" s="600" t="s">
        <v>323</v>
      </c>
      <c r="D195" s="601" t="s">
        <v>114</v>
      </c>
    </row>
    <row r="196" spans="1:4" ht="33" x14ac:dyDescent="0.45">
      <c r="A196" s="602" t="s">
        <v>324</v>
      </c>
      <c r="B196" s="603" t="s">
        <v>325</v>
      </c>
      <c r="D196" s="604" t="s">
        <v>114</v>
      </c>
    </row>
    <row r="197" spans="1:4" ht="33" x14ac:dyDescent="0.45">
      <c r="A197" s="605" t="s">
        <v>358</v>
      </c>
      <c r="B197" s="606" t="s">
        <v>359</v>
      </c>
      <c r="D197" s="607" t="s">
        <v>114</v>
      </c>
    </row>
    <row r="198" spans="1:4" ht="33" x14ac:dyDescent="0.45">
      <c r="A198" s="608" t="s">
        <v>360</v>
      </c>
      <c r="B198" s="609" t="s">
        <v>361</v>
      </c>
      <c r="D198" s="610" t="s">
        <v>114</v>
      </c>
    </row>
    <row r="199" spans="1:4" ht="33" x14ac:dyDescent="0.45">
      <c r="A199" s="611" t="s">
        <v>414</v>
      </c>
      <c r="B199" s="612" t="s">
        <v>415</v>
      </c>
      <c r="D199" s="613" t="s">
        <v>114</v>
      </c>
    </row>
    <row r="200" spans="1:4" ht="33" x14ac:dyDescent="0.45">
      <c r="A200" s="614" t="s">
        <v>370</v>
      </c>
      <c r="B200" s="615" t="s">
        <v>371</v>
      </c>
      <c r="D200" s="616" t="s">
        <v>114</v>
      </c>
    </row>
    <row r="201" spans="1:4" ht="82.5" x14ac:dyDescent="0.45">
      <c r="A201" s="617" t="s">
        <v>416</v>
      </c>
      <c r="B201" s="618" t="s">
        <v>15</v>
      </c>
      <c r="C201" s="619" t="s">
        <v>417</v>
      </c>
      <c r="D201" s="620" t="s">
        <v>114</v>
      </c>
    </row>
    <row r="202" spans="1:4" ht="33" x14ac:dyDescent="0.45">
      <c r="A202" s="621" t="s">
        <v>308</v>
      </c>
      <c r="B202" s="622" t="s">
        <v>309</v>
      </c>
      <c r="D202" s="623" t="s">
        <v>114</v>
      </c>
    </row>
    <row r="203" spans="1:4" ht="33" x14ac:dyDescent="0.45">
      <c r="A203" s="624" t="s">
        <v>418</v>
      </c>
      <c r="B203" s="625" t="s">
        <v>419</v>
      </c>
      <c r="D203" s="626" t="s">
        <v>114</v>
      </c>
    </row>
    <row r="204" spans="1:4" ht="33" x14ac:dyDescent="0.45">
      <c r="A204" s="627" t="s">
        <v>420</v>
      </c>
      <c r="B204" s="628" t="s">
        <v>421</v>
      </c>
      <c r="D204" s="629" t="s">
        <v>114</v>
      </c>
    </row>
    <row r="205" spans="1:4" ht="33" x14ac:dyDescent="0.45">
      <c r="A205" s="630" t="s">
        <v>314</v>
      </c>
      <c r="B205" s="631" t="s">
        <v>315</v>
      </c>
      <c r="D205" s="632" t="s">
        <v>114</v>
      </c>
    </row>
    <row r="206" spans="1:4" ht="33" x14ac:dyDescent="0.45">
      <c r="A206" s="633" t="s">
        <v>422</v>
      </c>
      <c r="B206" s="634" t="s">
        <v>423</v>
      </c>
      <c r="D206" s="635" t="s">
        <v>114</v>
      </c>
    </row>
    <row r="207" spans="1:4" ht="33" x14ac:dyDescent="0.45">
      <c r="A207" s="636" t="s">
        <v>336</v>
      </c>
      <c r="B207" s="637" t="s">
        <v>337</v>
      </c>
      <c r="D207" s="638" t="s">
        <v>114</v>
      </c>
    </row>
    <row r="208" spans="1:4" ht="33" x14ac:dyDescent="0.45">
      <c r="A208" s="639" t="s">
        <v>338</v>
      </c>
      <c r="B208" s="640" t="s">
        <v>339</v>
      </c>
      <c r="D208" s="641" t="s">
        <v>114</v>
      </c>
    </row>
    <row r="209" spans="1:4" ht="33" x14ac:dyDescent="0.45">
      <c r="A209" s="642" t="s">
        <v>340</v>
      </c>
      <c r="B209" s="643" t="s">
        <v>341</v>
      </c>
      <c r="D209" s="644" t="s">
        <v>114</v>
      </c>
    </row>
    <row r="210" spans="1:4" ht="33" x14ac:dyDescent="0.45">
      <c r="A210" s="645" t="s">
        <v>342</v>
      </c>
      <c r="B210" s="646" t="s">
        <v>343</v>
      </c>
      <c r="D210" s="647" t="s">
        <v>114</v>
      </c>
    </row>
    <row r="211" spans="1:4" ht="33" x14ac:dyDescent="0.45">
      <c r="A211" s="648" t="s">
        <v>424</v>
      </c>
      <c r="B211" s="649" t="s">
        <v>425</v>
      </c>
      <c r="D211" s="650" t="s">
        <v>114</v>
      </c>
    </row>
    <row r="212" spans="1:4" ht="33" x14ac:dyDescent="0.45">
      <c r="A212" s="651" t="s">
        <v>320</v>
      </c>
      <c r="B212" s="652" t="s">
        <v>321</v>
      </c>
      <c r="D212" s="653" t="s">
        <v>114</v>
      </c>
    </row>
    <row r="213" spans="1:4" ht="33" x14ac:dyDescent="0.45">
      <c r="A213" s="654" t="s">
        <v>426</v>
      </c>
      <c r="B213" s="655" t="s">
        <v>427</v>
      </c>
      <c r="D213" s="656" t="s">
        <v>114</v>
      </c>
    </row>
    <row r="214" spans="1:4" ht="33" x14ac:dyDescent="0.45">
      <c r="A214" s="657" t="s">
        <v>346</v>
      </c>
      <c r="B214" s="658" t="s">
        <v>347</v>
      </c>
      <c r="D214" s="659" t="s">
        <v>114</v>
      </c>
    </row>
    <row r="215" spans="1:4" ht="33" x14ac:dyDescent="0.45">
      <c r="A215" s="660" t="s">
        <v>348</v>
      </c>
      <c r="B215" s="661" t="s">
        <v>349</v>
      </c>
      <c r="D215" s="662" t="s">
        <v>114</v>
      </c>
    </row>
    <row r="216" spans="1:4" ht="33" x14ac:dyDescent="0.45">
      <c r="A216" s="663" t="s">
        <v>322</v>
      </c>
      <c r="B216" s="664" t="s">
        <v>323</v>
      </c>
      <c r="D216" s="665" t="s">
        <v>114</v>
      </c>
    </row>
    <row r="217" spans="1:4" ht="33" x14ac:dyDescent="0.45">
      <c r="A217" s="666" t="s">
        <v>350</v>
      </c>
      <c r="B217" s="667" t="s">
        <v>351</v>
      </c>
      <c r="D217" s="668" t="s">
        <v>114</v>
      </c>
    </row>
    <row r="218" spans="1:4" ht="33" x14ac:dyDescent="0.45">
      <c r="A218" s="669" t="s">
        <v>352</v>
      </c>
      <c r="B218" s="670" t="s">
        <v>353</v>
      </c>
      <c r="D218" s="671" t="s">
        <v>114</v>
      </c>
    </row>
    <row r="219" spans="1:4" ht="33" x14ac:dyDescent="0.45">
      <c r="A219" s="672" t="s">
        <v>428</v>
      </c>
      <c r="B219" s="673" t="s">
        <v>429</v>
      </c>
      <c r="D219" s="674" t="s">
        <v>114</v>
      </c>
    </row>
    <row r="220" spans="1:4" ht="33" x14ac:dyDescent="0.45">
      <c r="A220" s="675" t="s">
        <v>430</v>
      </c>
      <c r="B220" s="676" t="s">
        <v>431</v>
      </c>
      <c r="D220" s="677" t="s">
        <v>114</v>
      </c>
    </row>
    <row r="221" spans="1:4" ht="33" x14ac:dyDescent="0.45">
      <c r="A221" s="678" t="s">
        <v>432</v>
      </c>
      <c r="B221" s="679" t="s">
        <v>433</v>
      </c>
      <c r="D221" s="680" t="s">
        <v>114</v>
      </c>
    </row>
    <row r="222" spans="1:4" ht="115.5" x14ac:dyDescent="0.45">
      <c r="A222" s="681" t="s">
        <v>434</v>
      </c>
      <c r="B222" s="682" t="s">
        <v>16</v>
      </c>
      <c r="C222" s="683" t="s">
        <v>435</v>
      </c>
      <c r="D222" s="684" t="s">
        <v>114</v>
      </c>
    </row>
    <row r="223" spans="1:4" ht="33" x14ac:dyDescent="0.45">
      <c r="A223" s="685" t="s">
        <v>436</v>
      </c>
      <c r="B223" s="686" t="s">
        <v>437</v>
      </c>
      <c r="D223" s="687" t="s">
        <v>114</v>
      </c>
    </row>
    <row r="224" spans="1:4" ht="33" x14ac:dyDescent="0.45">
      <c r="A224" s="688" t="s">
        <v>438</v>
      </c>
      <c r="B224" s="689" t="s">
        <v>439</v>
      </c>
      <c r="D224" s="690" t="s">
        <v>114</v>
      </c>
    </row>
    <row r="225" spans="1:4" ht="33" x14ac:dyDescent="0.45">
      <c r="A225" s="691" t="s">
        <v>440</v>
      </c>
      <c r="B225" s="692" t="s">
        <v>441</v>
      </c>
      <c r="D225" s="693" t="s">
        <v>114</v>
      </c>
    </row>
    <row r="226" spans="1:4" ht="33" x14ac:dyDescent="0.45">
      <c r="A226" s="694" t="s">
        <v>442</v>
      </c>
      <c r="B226" s="695" t="s">
        <v>443</v>
      </c>
      <c r="D226" s="696" t="s">
        <v>114</v>
      </c>
    </row>
    <row r="227" spans="1:4" ht="33" x14ac:dyDescent="0.45">
      <c r="A227" s="697" t="s">
        <v>444</v>
      </c>
      <c r="B227" s="698" t="s">
        <v>445</v>
      </c>
      <c r="D227" s="699" t="s">
        <v>114</v>
      </c>
    </row>
    <row r="228" spans="1:4" ht="33" x14ac:dyDescent="0.45">
      <c r="A228" s="700" t="s">
        <v>446</v>
      </c>
      <c r="B228" s="701" t="s">
        <v>447</v>
      </c>
      <c r="D228" s="702" t="s">
        <v>114</v>
      </c>
    </row>
    <row r="229" spans="1:4" ht="33" x14ac:dyDescent="0.45">
      <c r="A229" s="703" t="s">
        <v>448</v>
      </c>
      <c r="B229" s="704" t="s">
        <v>449</v>
      </c>
      <c r="D229" s="705" t="s">
        <v>114</v>
      </c>
    </row>
    <row r="230" spans="1:4" ht="33" x14ac:dyDescent="0.45">
      <c r="A230" s="706" t="s">
        <v>450</v>
      </c>
      <c r="B230" s="707" t="s">
        <v>451</v>
      </c>
      <c r="D230" s="708" t="s">
        <v>114</v>
      </c>
    </row>
    <row r="231" spans="1:4" ht="33" x14ac:dyDescent="0.45">
      <c r="A231" s="709" t="s">
        <v>452</v>
      </c>
      <c r="B231" s="710" t="s">
        <v>453</v>
      </c>
      <c r="D231" s="711" t="s">
        <v>114</v>
      </c>
    </row>
    <row r="232" spans="1:4" ht="33" x14ac:dyDescent="0.45">
      <c r="A232" s="712" t="s">
        <v>454</v>
      </c>
      <c r="B232" s="713" t="s">
        <v>455</v>
      </c>
      <c r="D232" s="714" t="s">
        <v>114</v>
      </c>
    </row>
    <row r="233" spans="1:4" ht="33" x14ac:dyDescent="0.45">
      <c r="A233" s="715" t="s">
        <v>456</v>
      </c>
      <c r="B233" s="716" t="s">
        <v>457</v>
      </c>
      <c r="D233" s="717" t="s">
        <v>114</v>
      </c>
    </row>
    <row r="234" spans="1:4" ht="33" x14ac:dyDescent="0.45">
      <c r="A234" s="718" t="s">
        <v>458</v>
      </c>
      <c r="B234" s="719" t="s">
        <v>459</v>
      </c>
      <c r="D234" s="720" t="s">
        <v>114</v>
      </c>
    </row>
    <row r="235" spans="1:4" ht="33" x14ac:dyDescent="0.45">
      <c r="A235" s="721" t="s">
        <v>460</v>
      </c>
      <c r="B235" s="722" t="s">
        <v>461</v>
      </c>
      <c r="D235" s="723" t="s">
        <v>114</v>
      </c>
    </row>
    <row r="236" spans="1:4" ht="33" x14ac:dyDescent="0.45">
      <c r="A236" s="724" t="s">
        <v>462</v>
      </c>
      <c r="B236" s="725" t="s">
        <v>463</v>
      </c>
      <c r="D236" s="726" t="s">
        <v>114</v>
      </c>
    </row>
    <row r="237" spans="1:4" ht="33" x14ac:dyDescent="0.45">
      <c r="A237" s="727" t="s">
        <v>464</v>
      </c>
      <c r="B237" s="728" t="s">
        <v>465</v>
      </c>
      <c r="D237" s="729" t="s">
        <v>114</v>
      </c>
    </row>
    <row r="238" spans="1:4" ht="33" x14ac:dyDescent="0.45">
      <c r="A238" s="730" t="s">
        <v>466</v>
      </c>
      <c r="B238" s="731" t="s">
        <v>467</v>
      </c>
      <c r="D238" s="732" t="s">
        <v>114</v>
      </c>
    </row>
    <row r="239" spans="1:4" ht="33" x14ac:dyDescent="0.45">
      <c r="A239" s="733" t="s">
        <v>468</v>
      </c>
      <c r="B239" s="734" t="s">
        <v>469</v>
      </c>
      <c r="D239" s="735" t="s">
        <v>114</v>
      </c>
    </row>
    <row r="240" spans="1:4" ht="33" x14ac:dyDescent="0.45">
      <c r="A240" s="736" t="s">
        <v>470</v>
      </c>
      <c r="B240" s="737" t="s">
        <v>471</v>
      </c>
      <c r="D240" s="738" t="s">
        <v>114</v>
      </c>
    </row>
    <row r="241" spans="1:4" ht="33" x14ac:dyDescent="0.45">
      <c r="A241" s="739" t="s">
        <v>472</v>
      </c>
      <c r="B241" s="740" t="s">
        <v>473</v>
      </c>
      <c r="D241" s="741" t="s">
        <v>114</v>
      </c>
    </row>
    <row r="242" spans="1:4" ht="33" x14ac:dyDescent="0.45">
      <c r="A242" s="742" t="s">
        <v>474</v>
      </c>
      <c r="B242" s="743" t="s">
        <v>475</v>
      </c>
      <c r="D242" s="744" t="s">
        <v>114</v>
      </c>
    </row>
    <row r="243" spans="1:4" ht="33" x14ac:dyDescent="0.45">
      <c r="A243" s="745" t="s">
        <v>476</v>
      </c>
      <c r="B243" s="746" t="s">
        <v>477</v>
      </c>
      <c r="D243" s="747" t="s">
        <v>114</v>
      </c>
    </row>
    <row r="244" spans="1:4" ht="33" x14ac:dyDescent="0.45">
      <c r="A244" s="748" t="s">
        <v>478</v>
      </c>
      <c r="B244" s="749" t="s">
        <v>479</v>
      </c>
      <c r="D244" s="750" t="s">
        <v>114</v>
      </c>
    </row>
    <row r="245" spans="1:4" ht="33" x14ac:dyDescent="0.45">
      <c r="A245" s="751" t="s">
        <v>480</v>
      </c>
      <c r="B245" s="752" t="s">
        <v>481</v>
      </c>
      <c r="D245" s="753" t="s">
        <v>114</v>
      </c>
    </row>
    <row r="246" spans="1:4" ht="33" x14ac:dyDescent="0.45">
      <c r="A246" s="754" t="s">
        <v>482</v>
      </c>
      <c r="B246" s="755" t="s">
        <v>483</v>
      </c>
      <c r="D246" s="756" t="s">
        <v>114</v>
      </c>
    </row>
    <row r="247" spans="1:4" ht="33" x14ac:dyDescent="0.45">
      <c r="A247" s="757" t="s">
        <v>484</v>
      </c>
      <c r="B247" s="758" t="s">
        <v>485</v>
      </c>
      <c r="D247" s="759" t="s">
        <v>114</v>
      </c>
    </row>
    <row r="248" spans="1:4" ht="33" x14ac:dyDescent="0.45">
      <c r="A248" s="760" t="s">
        <v>486</v>
      </c>
      <c r="B248" s="761" t="s">
        <v>487</v>
      </c>
      <c r="D248" s="762" t="s">
        <v>114</v>
      </c>
    </row>
    <row r="249" spans="1:4" ht="33" x14ac:dyDescent="0.45">
      <c r="A249" s="763" t="s">
        <v>488</v>
      </c>
      <c r="B249" s="764" t="s">
        <v>489</v>
      </c>
      <c r="D249" s="765" t="s">
        <v>114</v>
      </c>
    </row>
    <row r="250" spans="1:4" ht="33" x14ac:dyDescent="0.45">
      <c r="A250" s="766" t="s">
        <v>490</v>
      </c>
      <c r="B250" s="767" t="s">
        <v>491</v>
      </c>
      <c r="D250" s="768" t="s">
        <v>114</v>
      </c>
    </row>
    <row r="251" spans="1:4" ht="33" x14ac:dyDescent="0.45">
      <c r="A251" s="769" t="s">
        <v>492</v>
      </c>
      <c r="B251" s="770" t="s">
        <v>493</v>
      </c>
      <c r="D251" s="771" t="s">
        <v>114</v>
      </c>
    </row>
    <row r="252" spans="1:4" ht="33" x14ac:dyDescent="0.45">
      <c r="A252" s="772" t="s">
        <v>494</v>
      </c>
      <c r="B252" s="773" t="s">
        <v>495</v>
      </c>
      <c r="D252" s="774" t="s">
        <v>114</v>
      </c>
    </row>
    <row r="253" spans="1:4" ht="33" x14ac:dyDescent="0.45">
      <c r="A253" s="775" t="s">
        <v>496</v>
      </c>
      <c r="B253" s="776" t="s">
        <v>497</v>
      </c>
      <c r="D253" s="777" t="s">
        <v>114</v>
      </c>
    </row>
    <row r="254" spans="1:4" ht="33" x14ac:dyDescent="0.45">
      <c r="A254" s="778" t="s">
        <v>498</v>
      </c>
      <c r="B254" s="779" t="s">
        <v>499</v>
      </c>
      <c r="D254" s="780" t="s">
        <v>114</v>
      </c>
    </row>
    <row r="255" spans="1:4" ht="33" x14ac:dyDescent="0.45">
      <c r="A255" s="781" t="s">
        <v>500</v>
      </c>
      <c r="B255" s="782" t="s">
        <v>501</v>
      </c>
      <c r="D255" s="783" t="s">
        <v>114</v>
      </c>
    </row>
    <row r="256" spans="1:4" ht="33" x14ac:dyDescent="0.45">
      <c r="A256" s="784" t="s">
        <v>502</v>
      </c>
      <c r="B256" s="785" t="s">
        <v>503</v>
      </c>
      <c r="D256" s="786" t="s">
        <v>114</v>
      </c>
    </row>
    <row r="257" spans="1:4" ht="33" x14ac:dyDescent="0.45">
      <c r="A257" s="787" t="s">
        <v>504</v>
      </c>
      <c r="B257" s="788" t="s">
        <v>505</v>
      </c>
      <c r="D257" s="789" t="s">
        <v>114</v>
      </c>
    </row>
    <row r="258" spans="1:4" ht="33" x14ac:dyDescent="0.45">
      <c r="A258" s="790" t="s">
        <v>506</v>
      </c>
      <c r="B258" s="791" t="s">
        <v>507</v>
      </c>
      <c r="D258" s="792" t="s">
        <v>114</v>
      </c>
    </row>
    <row r="259" spans="1:4" ht="33" x14ac:dyDescent="0.45">
      <c r="A259" s="793" t="s">
        <v>508</v>
      </c>
      <c r="B259" s="794" t="s">
        <v>509</v>
      </c>
      <c r="D259" s="795" t="s">
        <v>114</v>
      </c>
    </row>
    <row r="260" spans="1:4" ht="33" x14ac:dyDescent="0.45">
      <c r="A260" s="796" t="s">
        <v>510</v>
      </c>
      <c r="B260" s="797" t="s">
        <v>511</v>
      </c>
      <c r="D260" s="798" t="s">
        <v>114</v>
      </c>
    </row>
    <row r="261" spans="1:4" ht="33" x14ac:dyDescent="0.45">
      <c r="A261" s="799" t="s">
        <v>512</v>
      </c>
      <c r="B261" s="800" t="s">
        <v>513</v>
      </c>
      <c r="D261" s="801" t="s">
        <v>114</v>
      </c>
    </row>
    <row r="262" spans="1:4" ht="33" x14ac:dyDescent="0.45">
      <c r="A262" s="802" t="s">
        <v>514</v>
      </c>
      <c r="B262" s="803" t="s">
        <v>515</v>
      </c>
      <c r="D262" s="804" t="s">
        <v>114</v>
      </c>
    </row>
    <row r="263" spans="1:4" ht="33" x14ac:dyDescent="0.45">
      <c r="A263" s="805" t="s">
        <v>516</v>
      </c>
      <c r="B263" s="806" t="s">
        <v>517</v>
      </c>
      <c r="D263" s="807" t="s">
        <v>114</v>
      </c>
    </row>
    <row r="264" spans="1:4" ht="33" x14ac:dyDescent="0.45">
      <c r="A264" s="808" t="s">
        <v>518</v>
      </c>
      <c r="B264" s="809" t="s">
        <v>519</v>
      </c>
      <c r="D264" s="810" t="s">
        <v>114</v>
      </c>
    </row>
    <row r="265" spans="1:4" ht="33" x14ac:dyDescent="0.45">
      <c r="A265" s="811" t="s">
        <v>520</v>
      </c>
      <c r="B265" s="812" t="s">
        <v>521</v>
      </c>
      <c r="D265" s="813" t="s">
        <v>114</v>
      </c>
    </row>
    <row r="266" spans="1:4" ht="33" x14ac:dyDescent="0.45">
      <c r="A266" s="814" t="s">
        <v>522</v>
      </c>
      <c r="B266" s="815" t="s">
        <v>523</v>
      </c>
      <c r="D266" s="816" t="s">
        <v>114</v>
      </c>
    </row>
    <row r="267" spans="1:4" ht="33" x14ac:dyDescent="0.45">
      <c r="A267" s="817" t="s">
        <v>524</v>
      </c>
      <c r="B267" s="818" t="s">
        <v>525</v>
      </c>
      <c r="D267" s="819" t="s">
        <v>114</v>
      </c>
    </row>
    <row r="268" spans="1:4" ht="33" x14ac:dyDescent="0.45">
      <c r="A268" s="820" t="s">
        <v>526</v>
      </c>
      <c r="B268" s="821" t="s">
        <v>527</v>
      </c>
      <c r="D268" s="822" t="s">
        <v>114</v>
      </c>
    </row>
    <row r="269" spans="1:4" ht="214.5" x14ac:dyDescent="0.45">
      <c r="A269" s="823" t="s">
        <v>528</v>
      </c>
      <c r="B269" s="824" t="s">
        <v>17</v>
      </c>
      <c r="C269" s="825" t="s">
        <v>529</v>
      </c>
      <c r="D269" s="826" t="s">
        <v>114</v>
      </c>
    </row>
    <row r="270" spans="1:4" ht="33" x14ac:dyDescent="0.45">
      <c r="A270" s="827" t="s">
        <v>530</v>
      </c>
      <c r="B270" s="828" t="s">
        <v>531</v>
      </c>
      <c r="D270" s="829" t="s">
        <v>114</v>
      </c>
    </row>
    <row r="271" spans="1:4" ht="33" x14ac:dyDescent="0.45">
      <c r="A271" s="830" t="s">
        <v>532</v>
      </c>
      <c r="B271" s="831" t="s">
        <v>533</v>
      </c>
      <c r="D271" s="832" t="s">
        <v>114</v>
      </c>
    </row>
    <row r="272" spans="1:4" ht="33" x14ac:dyDescent="0.45">
      <c r="A272" s="833" t="s">
        <v>534</v>
      </c>
      <c r="B272" s="834" t="s">
        <v>535</v>
      </c>
      <c r="D272" s="835" t="s">
        <v>114</v>
      </c>
    </row>
    <row r="273" spans="1:4" ht="33" x14ac:dyDescent="0.45">
      <c r="A273" s="836" t="s">
        <v>536</v>
      </c>
      <c r="B273" s="837" t="s">
        <v>537</v>
      </c>
      <c r="D273" s="838" t="s">
        <v>114</v>
      </c>
    </row>
    <row r="274" spans="1:4" ht="33" x14ac:dyDescent="0.45">
      <c r="A274" s="839" t="s">
        <v>538</v>
      </c>
      <c r="B274" s="840" t="s">
        <v>539</v>
      </c>
      <c r="D274" s="841" t="s">
        <v>114</v>
      </c>
    </row>
    <row r="275" spans="1:4" ht="33" x14ac:dyDescent="0.45">
      <c r="A275" s="842" t="s">
        <v>540</v>
      </c>
      <c r="B275" s="843" t="s">
        <v>541</v>
      </c>
      <c r="D275" s="844" t="s">
        <v>114</v>
      </c>
    </row>
    <row r="276" spans="1:4" ht="33" x14ac:dyDescent="0.45">
      <c r="A276" s="845" t="s">
        <v>542</v>
      </c>
      <c r="B276" s="846" t="s">
        <v>543</v>
      </c>
      <c r="D276" s="847" t="s">
        <v>114</v>
      </c>
    </row>
    <row r="277" spans="1:4" ht="33" x14ac:dyDescent="0.45">
      <c r="A277" s="848" t="s">
        <v>544</v>
      </c>
      <c r="B277" s="849" t="s">
        <v>545</v>
      </c>
      <c r="D277" s="850" t="s">
        <v>114</v>
      </c>
    </row>
    <row r="278" spans="1:4" ht="33" x14ac:dyDescent="0.45">
      <c r="A278" s="851" t="s">
        <v>546</v>
      </c>
      <c r="B278" s="852" t="s">
        <v>547</v>
      </c>
      <c r="D278" s="853" t="s">
        <v>114</v>
      </c>
    </row>
    <row r="279" spans="1:4" ht="33" x14ac:dyDescent="0.45">
      <c r="A279" s="854" t="s">
        <v>548</v>
      </c>
      <c r="B279" s="855" t="s">
        <v>549</v>
      </c>
      <c r="D279" s="856" t="s">
        <v>114</v>
      </c>
    </row>
    <row r="280" spans="1:4" ht="33" x14ac:dyDescent="0.45">
      <c r="A280" s="857" t="s">
        <v>550</v>
      </c>
      <c r="B280" s="858" t="s">
        <v>551</v>
      </c>
      <c r="D280" s="859" t="s">
        <v>114</v>
      </c>
    </row>
    <row r="281" spans="1:4" ht="33" x14ac:dyDescent="0.45">
      <c r="A281" s="860" t="s">
        <v>552</v>
      </c>
      <c r="B281" s="861" t="s">
        <v>553</v>
      </c>
      <c r="D281" s="862" t="s">
        <v>114</v>
      </c>
    </row>
    <row r="282" spans="1:4" ht="33" x14ac:dyDescent="0.45">
      <c r="A282" s="863" t="s">
        <v>554</v>
      </c>
      <c r="B282" s="864" t="s">
        <v>555</v>
      </c>
      <c r="D282" s="865" t="s">
        <v>114</v>
      </c>
    </row>
    <row r="283" spans="1:4" ht="33" x14ac:dyDescent="0.45">
      <c r="A283" s="866" t="s">
        <v>556</v>
      </c>
      <c r="B283" s="867" t="s">
        <v>557</v>
      </c>
      <c r="D283" s="868" t="s">
        <v>114</v>
      </c>
    </row>
    <row r="284" spans="1:4" ht="33" x14ac:dyDescent="0.45">
      <c r="A284" s="869" t="s">
        <v>558</v>
      </c>
      <c r="B284" s="870" t="s">
        <v>559</v>
      </c>
      <c r="D284" s="871" t="s">
        <v>114</v>
      </c>
    </row>
    <row r="285" spans="1:4" ht="33" x14ac:dyDescent="0.45">
      <c r="A285" s="872" t="s">
        <v>560</v>
      </c>
      <c r="B285" s="873" t="s">
        <v>561</v>
      </c>
      <c r="D285" s="874" t="s">
        <v>114</v>
      </c>
    </row>
    <row r="286" spans="1:4" ht="33" x14ac:dyDescent="0.45">
      <c r="A286" s="875" t="s">
        <v>562</v>
      </c>
      <c r="B286" s="876" t="s">
        <v>563</v>
      </c>
      <c r="D286" s="877" t="s">
        <v>114</v>
      </c>
    </row>
    <row r="287" spans="1:4" ht="33" x14ac:dyDescent="0.45">
      <c r="A287" s="878" t="s">
        <v>564</v>
      </c>
      <c r="B287" s="879" t="s">
        <v>565</v>
      </c>
      <c r="D287" s="880" t="s">
        <v>114</v>
      </c>
    </row>
    <row r="288" spans="1:4" ht="33" x14ac:dyDescent="0.45">
      <c r="A288" s="881" t="s">
        <v>566</v>
      </c>
      <c r="B288" s="882" t="s">
        <v>567</v>
      </c>
      <c r="D288" s="883" t="s">
        <v>114</v>
      </c>
    </row>
    <row r="289" spans="1:4" ht="33" x14ac:dyDescent="0.45">
      <c r="A289" s="884" t="s">
        <v>568</v>
      </c>
      <c r="B289" s="885" t="s">
        <v>569</v>
      </c>
      <c r="D289" s="886" t="s">
        <v>114</v>
      </c>
    </row>
    <row r="290" spans="1:4" ht="33" x14ac:dyDescent="0.45">
      <c r="A290" s="887" t="s">
        <v>570</v>
      </c>
      <c r="B290" s="888" t="s">
        <v>571</v>
      </c>
      <c r="D290" s="889" t="s">
        <v>114</v>
      </c>
    </row>
    <row r="291" spans="1:4" ht="33" x14ac:dyDescent="0.45">
      <c r="A291" s="890" t="s">
        <v>572</v>
      </c>
      <c r="B291" s="891" t="s">
        <v>573</v>
      </c>
      <c r="D291" s="892" t="s">
        <v>114</v>
      </c>
    </row>
    <row r="292" spans="1:4" ht="33" x14ac:dyDescent="0.45">
      <c r="A292" s="893" t="s">
        <v>574</v>
      </c>
      <c r="B292" s="894" t="s">
        <v>575</v>
      </c>
      <c r="D292" s="895" t="s">
        <v>114</v>
      </c>
    </row>
    <row r="293" spans="1:4" ht="33" x14ac:dyDescent="0.45">
      <c r="A293" s="896" t="s">
        <v>576</v>
      </c>
      <c r="B293" s="897" t="s">
        <v>577</v>
      </c>
      <c r="D293" s="898" t="s">
        <v>114</v>
      </c>
    </row>
    <row r="294" spans="1:4" ht="33" x14ac:dyDescent="0.45">
      <c r="A294" s="899" t="s">
        <v>578</v>
      </c>
      <c r="B294" s="900" t="s">
        <v>579</v>
      </c>
      <c r="D294" s="901" t="s">
        <v>114</v>
      </c>
    </row>
    <row r="295" spans="1:4" ht="33" x14ac:dyDescent="0.45">
      <c r="A295" s="902" t="s">
        <v>580</v>
      </c>
      <c r="B295" s="903" t="s">
        <v>581</v>
      </c>
      <c r="D295" s="904" t="s">
        <v>114</v>
      </c>
    </row>
    <row r="296" spans="1:4" ht="33" x14ac:dyDescent="0.45">
      <c r="A296" s="905" t="s">
        <v>582</v>
      </c>
      <c r="B296" s="906" t="s">
        <v>583</v>
      </c>
      <c r="D296" s="907" t="s">
        <v>114</v>
      </c>
    </row>
    <row r="297" spans="1:4" ht="33" x14ac:dyDescent="0.45">
      <c r="A297" s="908" t="s">
        <v>584</v>
      </c>
      <c r="B297" s="909" t="s">
        <v>585</v>
      </c>
      <c r="D297" s="910" t="s">
        <v>114</v>
      </c>
    </row>
    <row r="298" spans="1:4" ht="33" x14ac:dyDescent="0.45">
      <c r="A298" s="911" t="s">
        <v>586</v>
      </c>
      <c r="B298" s="912" t="s">
        <v>587</v>
      </c>
      <c r="D298" s="913" t="s">
        <v>114</v>
      </c>
    </row>
    <row r="299" spans="1:4" ht="33" x14ac:dyDescent="0.45">
      <c r="A299" s="914" t="s">
        <v>588</v>
      </c>
      <c r="B299" s="915" t="s">
        <v>589</v>
      </c>
      <c r="D299" s="916" t="s">
        <v>114</v>
      </c>
    </row>
    <row r="300" spans="1:4" ht="33" x14ac:dyDescent="0.45">
      <c r="A300" s="917" t="s">
        <v>590</v>
      </c>
      <c r="B300" s="918" t="s">
        <v>591</v>
      </c>
      <c r="D300" s="919" t="s">
        <v>114</v>
      </c>
    </row>
    <row r="301" spans="1:4" ht="33" x14ac:dyDescent="0.45">
      <c r="A301" s="920" t="s">
        <v>592</v>
      </c>
      <c r="B301" s="921" t="s">
        <v>593</v>
      </c>
      <c r="D301" s="922" t="s">
        <v>114</v>
      </c>
    </row>
    <row r="302" spans="1:4" ht="33" x14ac:dyDescent="0.45">
      <c r="A302" s="923" t="s">
        <v>594</v>
      </c>
      <c r="B302" s="924" t="s">
        <v>595</v>
      </c>
      <c r="D302" s="925" t="s">
        <v>114</v>
      </c>
    </row>
    <row r="303" spans="1:4" ht="33" x14ac:dyDescent="0.45">
      <c r="A303" s="926" t="s">
        <v>596</v>
      </c>
      <c r="B303" s="927" t="s">
        <v>597</v>
      </c>
      <c r="D303" s="928" t="s">
        <v>114</v>
      </c>
    </row>
    <row r="304" spans="1:4" ht="33" x14ac:dyDescent="0.45">
      <c r="A304" s="929" t="s">
        <v>598</v>
      </c>
      <c r="B304" s="930" t="s">
        <v>599</v>
      </c>
      <c r="D304" s="931" t="s">
        <v>114</v>
      </c>
    </row>
    <row r="305" spans="1:4" ht="33" x14ac:dyDescent="0.45">
      <c r="A305" s="932" t="s">
        <v>600</v>
      </c>
      <c r="B305" s="933" t="s">
        <v>601</v>
      </c>
      <c r="D305" s="934" t="s">
        <v>114</v>
      </c>
    </row>
    <row r="306" spans="1:4" ht="33" x14ac:dyDescent="0.45">
      <c r="A306" s="935" t="s">
        <v>602</v>
      </c>
      <c r="B306" s="936" t="s">
        <v>603</v>
      </c>
      <c r="D306" s="937" t="s">
        <v>114</v>
      </c>
    </row>
    <row r="307" spans="1:4" ht="33" x14ac:dyDescent="0.45">
      <c r="A307" s="938" t="s">
        <v>604</v>
      </c>
      <c r="B307" s="939" t="s">
        <v>605</v>
      </c>
      <c r="D307" s="940" t="s">
        <v>114</v>
      </c>
    </row>
    <row r="308" spans="1:4" ht="33" x14ac:dyDescent="0.45">
      <c r="A308" s="941" t="s">
        <v>606</v>
      </c>
      <c r="B308" s="942" t="s">
        <v>607</v>
      </c>
      <c r="D308" s="943" t="s">
        <v>114</v>
      </c>
    </row>
    <row r="309" spans="1:4" ht="33" x14ac:dyDescent="0.45">
      <c r="A309" s="944" t="s">
        <v>608</v>
      </c>
      <c r="B309" s="945" t="s">
        <v>609</v>
      </c>
      <c r="D309" s="946" t="s">
        <v>114</v>
      </c>
    </row>
    <row r="310" spans="1:4" ht="33" x14ac:dyDescent="0.45">
      <c r="A310" s="947" t="s">
        <v>610</v>
      </c>
      <c r="B310" s="948" t="s">
        <v>611</v>
      </c>
      <c r="D310" s="949" t="s">
        <v>114</v>
      </c>
    </row>
    <row r="311" spans="1:4" ht="33" x14ac:dyDescent="0.45">
      <c r="A311" s="950" t="s">
        <v>612</v>
      </c>
      <c r="B311" s="951" t="s">
        <v>613</v>
      </c>
      <c r="D311" s="952" t="s">
        <v>114</v>
      </c>
    </row>
    <row r="312" spans="1:4" ht="33" x14ac:dyDescent="0.45">
      <c r="A312" s="953" t="s">
        <v>614</v>
      </c>
      <c r="B312" s="954" t="s">
        <v>615</v>
      </c>
      <c r="D312" s="955" t="s">
        <v>114</v>
      </c>
    </row>
    <row r="313" spans="1:4" ht="33" x14ac:dyDescent="0.45">
      <c r="A313" s="956" t="s">
        <v>616</v>
      </c>
      <c r="B313" s="957" t="s">
        <v>617</v>
      </c>
      <c r="D313" s="958" t="s">
        <v>114</v>
      </c>
    </row>
    <row r="314" spans="1:4" ht="33" x14ac:dyDescent="0.45">
      <c r="A314" s="959" t="s">
        <v>618</v>
      </c>
      <c r="B314" s="960" t="s">
        <v>619</v>
      </c>
      <c r="D314" s="961" t="s">
        <v>114</v>
      </c>
    </row>
    <row r="315" spans="1:4" ht="33" x14ac:dyDescent="0.45">
      <c r="A315" s="962" t="s">
        <v>620</v>
      </c>
      <c r="B315" s="963" t="s">
        <v>621</v>
      </c>
      <c r="D315" s="964" t="s">
        <v>114</v>
      </c>
    </row>
    <row r="316" spans="1:4" ht="33" x14ac:dyDescent="0.45">
      <c r="A316" s="965" t="s">
        <v>622</v>
      </c>
      <c r="B316" s="966" t="s">
        <v>623</v>
      </c>
      <c r="D316" s="967" t="s">
        <v>114</v>
      </c>
    </row>
    <row r="317" spans="1:4" ht="33" x14ac:dyDescent="0.45">
      <c r="A317" s="968" t="s">
        <v>624</v>
      </c>
      <c r="B317" s="969" t="s">
        <v>625</v>
      </c>
      <c r="D317" s="970" t="s">
        <v>114</v>
      </c>
    </row>
    <row r="318" spans="1:4" ht="33" x14ac:dyDescent="0.45">
      <c r="A318" s="971" t="s">
        <v>626</v>
      </c>
      <c r="B318" s="972" t="s">
        <v>627</v>
      </c>
      <c r="D318" s="973" t="s">
        <v>114</v>
      </c>
    </row>
    <row r="319" spans="1:4" ht="33" x14ac:dyDescent="0.45">
      <c r="A319" s="974" t="s">
        <v>628</v>
      </c>
      <c r="B319" s="975" t="s">
        <v>629</v>
      </c>
      <c r="D319" s="976" t="s">
        <v>114</v>
      </c>
    </row>
    <row r="320" spans="1:4" ht="33" x14ac:dyDescent="0.45">
      <c r="A320" s="977" t="s">
        <v>630</v>
      </c>
      <c r="B320" s="978" t="s">
        <v>631</v>
      </c>
      <c r="D320" s="979" t="s">
        <v>114</v>
      </c>
    </row>
    <row r="321" spans="1:4" ht="33" x14ac:dyDescent="0.45">
      <c r="A321" s="980" t="s">
        <v>632</v>
      </c>
      <c r="B321" s="981" t="s">
        <v>633</v>
      </c>
      <c r="D321" s="982" t="s">
        <v>114</v>
      </c>
    </row>
    <row r="322" spans="1:4" ht="33" x14ac:dyDescent="0.45">
      <c r="A322" s="983" t="s">
        <v>634</v>
      </c>
      <c r="B322" s="984" t="s">
        <v>635</v>
      </c>
      <c r="D322" s="985" t="s">
        <v>114</v>
      </c>
    </row>
    <row r="323" spans="1:4" ht="33" x14ac:dyDescent="0.45">
      <c r="A323" s="986" t="s">
        <v>636</v>
      </c>
      <c r="B323" s="987" t="s">
        <v>637</v>
      </c>
      <c r="D323" s="988" t="s">
        <v>114</v>
      </c>
    </row>
    <row r="324" spans="1:4" ht="33" x14ac:dyDescent="0.45">
      <c r="A324" s="989" t="s">
        <v>638</v>
      </c>
      <c r="B324" s="990" t="s">
        <v>639</v>
      </c>
      <c r="D324" s="991" t="s">
        <v>114</v>
      </c>
    </row>
    <row r="325" spans="1:4" ht="33" x14ac:dyDescent="0.45">
      <c r="A325" s="992" t="s">
        <v>640</v>
      </c>
      <c r="B325" s="993" t="s">
        <v>641</v>
      </c>
      <c r="D325" s="994" t="s">
        <v>114</v>
      </c>
    </row>
    <row r="326" spans="1:4" ht="33" x14ac:dyDescent="0.45">
      <c r="A326" s="995" t="s">
        <v>642</v>
      </c>
      <c r="B326" s="996" t="s">
        <v>643</v>
      </c>
      <c r="D326" s="997" t="s">
        <v>114</v>
      </c>
    </row>
    <row r="327" spans="1:4" ht="33" x14ac:dyDescent="0.45">
      <c r="A327" s="998" t="s">
        <v>644</v>
      </c>
      <c r="B327" s="999" t="s">
        <v>645</v>
      </c>
      <c r="D327" s="1000" t="s">
        <v>114</v>
      </c>
    </row>
    <row r="328" spans="1:4" ht="33" x14ac:dyDescent="0.45">
      <c r="A328" s="1001" t="s">
        <v>646</v>
      </c>
      <c r="B328" s="1002" t="s">
        <v>647</v>
      </c>
      <c r="D328" s="1003" t="s">
        <v>114</v>
      </c>
    </row>
    <row r="329" spans="1:4" ht="33" x14ac:dyDescent="0.45">
      <c r="A329" s="1004" t="s">
        <v>648</v>
      </c>
      <c r="B329" s="1005" t="s">
        <v>649</v>
      </c>
      <c r="D329" s="1006" t="s">
        <v>114</v>
      </c>
    </row>
    <row r="330" spans="1:4" ht="33" x14ac:dyDescent="0.45">
      <c r="A330" s="1007" t="s">
        <v>650</v>
      </c>
      <c r="B330" s="1008" t="s">
        <v>651</v>
      </c>
      <c r="D330" s="1009" t="s">
        <v>114</v>
      </c>
    </row>
    <row r="331" spans="1:4" ht="33" x14ac:dyDescent="0.45">
      <c r="A331" s="1010" t="s">
        <v>652</v>
      </c>
      <c r="B331" s="1011" t="s">
        <v>653</v>
      </c>
      <c r="D331" s="1012" t="s">
        <v>114</v>
      </c>
    </row>
    <row r="332" spans="1:4" ht="33" x14ac:dyDescent="0.45">
      <c r="A332" s="1013" t="s">
        <v>654</v>
      </c>
      <c r="B332" s="1014" t="s">
        <v>655</v>
      </c>
      <c r="D332" s="1015" t="s">
        <v>114</v>
      </c>
    </row>
    <row r="333" spans="1:4" ht="33" x14ac:dyDescent="0.45">
      <c r="A333" s="1016" t="s">
        <v>656</v>
      </c>
      <c r="B333" s="1017" t="s">
        <v>657</v>
      </c>
      <c r="D333" s="1018" t="s">
        <v>114</v>
      </c>
    </row>
    <row r="334" spans="1:4" ht="33" x14ac:dyDescent="0.45">
      <c r="A334" s="1019" t="s">
        <v>658</v>
      </c>
      <c r="B334" s="1020" t="s">
        <v>659</v>
      </c>
      <c r="D334" s="1021" t="s">
        <v>114</v>
      </c>
    </row>
    <row r="335" spans="1:4" ht="33" x14ac:dyDescent="0.45">
      <c r="A335" s="1022" t="s">
        <v>660</v>
      </c>
      <c r="B335" s="1023" t="s">
        <v>661</v>
      </c>
      <c r="D335" s="1024" t="s">
        <v>114</v>
      </c>
    </row>
    <row r="336" spans="1:4" ht="33" x14ac:dyDescent="0.45">
      <c r="A336" s="1025" t="s">
        <v>662</v>
      </c>
      <c r="B336" s="1026" t="s">
        <v>663</v>
      </c>
      <c r="D336" s="1027" t="s">
        <v>114</v>
      </c>
    </row>
    <row r="337" spans="1:4" ht="33" x14ac:dyDescent="0.45">
      <c r="A337" s="1028" t="s">
        <v>664</v>
      </c>
      <c r="B337" s="1029" t="s">
        <v>665</v>
      </c>
      <c r="D337" s="1030" t="s">
        <v>114</v>
      </c>
    </row>
    <row r="338" spans="1:4" ht="33" x14ac:dyDescent="0.45">
      <c r="A338" s="1031" t="s">
        <v>666</v>
      </c>
      <c r="B338" s="1032" t="s">
        <v>667</v>
      </c>
      <c r="D338" s="1033" t="s">
        <v>114</v>
      </c>
    </row>
    <row r="339" spans="1:4" ht="33" x14ac:dyDescent="0.45">
      <c r="A339" s="1034" t="s">
        <v>668</v>
      </c>
      <c r="B339" s="1035" t="s">
        <v>669</v>
      </c>
      <c r="D339" s="1036" t="s">
        <v>114</v>
      </c>
    </row>
    <row r="340" spans="1:4" ht="33" x14ac:dyDescent="0.45">
      <c r="A340" s="1037" t="s">
        <v>670</v>
      </c>
      <c r="B340" s="1038" t="s">
        <v>671</v>
      </c>
      <c r="D340" s="1039" t="s">
        <v>114</v>
      </c>
    </row>
    <row r="341" spans="1:4" ht="49.5" x14ac:dyDescent="0.45">
      <c r="A341" s="1040" t="s">
        <v>672</v>
      </c>
      <c r="B341" s="1041" t="s">
        <v>673</v>
      </c>
      <c r="D341" s="1042" t="s">
        <v>114</v>
      </c>
    </row>
    <row r="342" spans="1:4" ht="49.5" x14ac:dyDescent="0.45">
      <c r="A342" s="1043" t="s">
        <v>674</v>
      </c>
      <c r="B342" s="1044" t="s">
        <v>675</v>
      </c>
      <c r="D342" s="1045" t="s">
        <v>114</v>
      </c>
    </row>
    <row r="343" spans="1:4" ht="33" x14ac:dyDescent="0.45">
      <c r="A343" s="1046" t="s">
        <v>676</v>
      </c>
      <c r="B343" s="1047" t="s">
        <v>18</v>
      </c>
      <c r="D343" s="1048" t="s">
        <v>114</v>
      </c>
    </row>
    <row r="344" spans="1:4" ht="33" x14ac:dyDescent="0.45">
      <c r="A344" s="1049" t="s">
        <v>677</v>
      </c>
      <c r="B344" s="1050" t="s">
        <v>19</v>
      </c>
      <c r="D344" s="1051" t="s">
        <v>114</v>
      </c>
    </row>
    <row r="345" spans="1:4" ht="33" x14ac:dyDescent="0.45">
      <c r="A345" s="1052" t="s">
        <v>678</v>
      </c>
      <c r="B345" s="1053" t="s">
        <v>20</v>
      </c>
      <c r="D345" s="1054" t="s">
        <v>114</v>
      </c>
    </row>
    <row r="346" spans="1:4" ht="33" x14ac:dyDescent="0.45">
      <c r="A346" s="1055" t="s">
        <v>679</v>
      </c>
      <c r="B346" s="1056" t="s">
        <v>21</v>
      </c>
      <c r="D346" s="1057" t="s">
        <v>114</v>
      </c>
    </row>
    <row r="347" spans="1:4" ht="16.5" x14ac:dyDescent="0.45">
      <c r="A347" s="1058" t="s">
        <v>680</v>
      </c>
      <c r="B347" s="1059" t="s">
        <v>22</v>
      </c>
      <c r="C347" s="1060" t="s">
        <v>681</v>
      </c>
      <c r="D347" s="1061" t="s">
        <v>114</v>
      </c>
    </row>
    <row r="348" spans="1:4" ht="16.5" x14ac:dyDescent="0.45">
      <c r="A348" s="1062" t="s">
        <v>682</v>
      </c>
      <c r="B348" s="1063" t="s">
        <v>683</v>
      </c>
      <c r="D348" s="1064" t="s">
        <v>114</v>
      </c>
    </row>
    <row r="349" spans="1:4" ht="16.5" x14ac:dyDescent="0.45">
      <c r="A349" s="1065" t="s">
        <v>684</v>
      </c>
      <c r="B349" s="1066" t="s">
        <v>685</v>
      </c>
      <c r="D349" s="1067" t="s">
        <v>114</v>
      </c>
    </row>
    <row r="350" spans="1:4" ht="16.5" x14ac:dyDescent="0.45">
      <c r="A350" s="1068" t="s">
        <v>686</v>
      </c>
      <c r="B350" s="1069" t="s">
        <v>23</v>
      </c>
      <c r="C350" s="1070" t="s">
        <v>687</v>
      </c>
      <c r="D350" s="1071" t="s">
        <v>114</v>
      </c>
    </row>
    <row r="351" spans="1:4" ht="33" x14ac:dyDescent="0.45">
      <c r="A351" s="1072" t="s">
        <v>688</v>
      </c>
      <c r="B351" s="1073" t="s">
        <v>689</v>
      </c>
      <c r="D351" s="1074" t="s">
        <v>114</v>
      </c>
    </row>
    <row r="352" spans="1:4" ht="16.5" x14ac:dyDescent="0.45">
      <c r="A352" s="1075" t="s">
        <v>690</v>
      </c>
      <c r="B352" s="1076" t="s">
        <v>691</v>
      </c>
      <c r="D352" s="1077" t="s">
        <v>114</v>
      </c>
    </row>
    <row r="353" spans="1:4" ht="66" x14ac:dyDescent="0.45">
      <c r="A353" s="1078" t="s">
        <v>692</v>
      </c>
      <c r="B353" s="1079" t="s">
        <v>24</v>
      </c>
      <c r="C353" s="1080" t="s">
        <v>693</v>
      </c>
      <c r="D353" s="1081" t="s">
        <v>114</v>
      </c>
    </row>
    <row r="354" spans="1:4" ht="33" x14ac:dyDescent="0.45">
      <c r="A354" s="1082" t="s">
        <v>694</v>
      </c>
      <c r="B354" s="1083" t="s">
        <v>695</v>
      </c>
      <c r="D354" s="1084" t="s">
        <v>114</v>
      </c>
    </row>
    <row r="355" spans="1:4" ht="33" x14ac:dyDescent="0.45">
      <c r="A355" s="1085" t="s">
        <v>696</v>
      </c>
      <c r="B355" s="1086" t="s">
        <v>697</v>
      </c>
      <c r="D355" s="1087" t="s">
        <v>114</v>
      </c>
    </row>
    <row r="356" spans="1:4" ht="33" x14ac:dyDescent="0.45">
      <c r="A356" s="1088" t="s">
        <v>698</v>
      </c>
      <c r="B356" s="1089" t="s">
        <v>699</v>
      </c>
      <c r="D356" s="1090" t="s">
        <v>114</v>
      </c>
    </row>
    <row r="357" spans="1:4" ht="33" x14ac:dyDescent="0.45">
      <c r="A357" s="1091" t="s">
        <v>700</v>
      </c>
      <c r="B357" s="1092" t="s">
        <v>701</v>
      </c>
      <c r="D357" s="1093" t="s">
        <v>114</v>
      </c>
    </row>
    <row r="358" spans="1:4" ht="33" x14ac:dyDescent="0.45">
      <c r="A358" s="1094" t="s">
        <v>702</v>
      </c>
      <c r="B358" s="1095" t="s">
        <v>703</v>
      </c>
      <c r="D358" s="1096" t="s">
        <v>114</v>
      </c>
    </row>
    <row r="359" spans="1:4" ht="33" x14ac:dyDescent="0.45">
      <c r="A359" s="1097" t="s">
        <v>704</v>
      </c>
      <c r="B359" s="1098" t="s">
        <v>705</v>
      </c>
      <c r="D359" s="1099" t="s">
        <v>114</v>
      </c>
    </row>
    <row r="360" spans="1:4" ht="33" x14ac:dyDescent="0.45">
      <c r="A360" s="1100" t="s">
        <v>706</v>
      </c>
      <c r="B360" s="1101" t="s">
        <v>707</v>
      </c>
      <c r="D360" s="1102" t="s">
        <v>114</v>
      </c>
    </row>
    <row r="361" spans="1:4" ht="33" x14ac:dyDescent="0.45">
      <c r="A361" s="1103" t="s">
        <v>708</v>
      </c>
      <c r="B361" s="1104" t="s">
        <v>709</v>
      </c>
      <c r="D361" s="1105" t="s">
        <v>114</v>
      </c>
    </row>
    <row r="362" spans="1:4" ht="16.5" x14ac:dyDescent="0.45">
      <c r="A362" s="1106" t="s">
        <v>710</v>
      </c>
      <c r="B362" s="1107" t="s">
        <v>25</v>
      </c>
      <c r="C362" s="1108" t="s">
        <v>711</v>
      </c>
      <c r="D362" s="1109" t="s">
        <v>114</v>
      </c>
    </row>
    <row r="363" spans="1:4" ht="16.5" x14ac:dyDescent="0.45">
      <c r="A363" s="1110" t="s">
        <v>712</v>
      </c>
      <c r="B363" s="1111" t="s">
        <v>713</v>
      </c>
      <c r="D363" s="1112" t="s">
        <v>114</v>
      </c>
    </row>
    <row r="364" spans="1:4" ht="16.5" x14ac:dyDescent="0.45">
      <c r="A364" s="1113" t="s">
        <v>714</v>
      </c>
      <c r="B364" s="1114" t="s">
        <v>715</v>
      </c>
      <c r="D364" s="1115" t="s">
        <v>114</v>
      </c>
    </row>
    <row r="365" spans="1:4" ht="82.5" x14ac:dyDescent="0.45">
      <c r="A365" s="1116" t="s">
        <v>716</v>
      </c>
      <c r="B365" s="1117" t="s">
        <v>26</v>
      </c>
      <c r="C365" s="1118" t="s">
        <v>717</v>
      </c>
      <c r="D365" s="1119" t="s">
        <v>114</v>
      </c>
    </row>
    <row r="366" spans="1:4" ht="33" x14ac:dyDescent="0.45">
      <c r="A366" s="1120" t="s">
        <v>718</v>
      </c>
      <c r="B366" s="1121" t="s">
        <v>719</v>
      </c>
      <c r="D366" s="1122" t="s">
        <v>114</v>
      </c>
    </row>
    <row r="367" spans="1:4" ht="33" x14ac:dyDescent="0.45">
      <c r="A367" s="1123" t="s">
        <v>720</v>
      </c>
      <c r="B367" s="1124" t="s">
        <v>721</v>
      </c>
      <c r="D367" s="1125" t="s">
        <v>114</v>
      </c>
    </row>
    <row r="368" spans="1:4" ht="33" x14ac:dyDescent="0.45">
      <c r="A368" s="1126" t="s">
        <v>722</v>
      </c>
      <c r="B368" s="1127" t="s">
        <v>723</v>
      </c>
      <c r="D368" s="1128" t="s">
        <v>114</v>
      </c>
    </row>
    <row r="369" spans="1:4" ht="33" x14ac:dyDescent="0.45">
      <c r="A369" s="1129" t="s">
        <v>724</v>
      </c>
      <c r="B369" s="1130" t="s">
        <v>725</v>
      </c>
      <c r="D369" s="1131" t="s">
        <v>114</v>
      </c>
    </row>
    <row r="370" spans="1:4" ht="33" x14ac:dyDescent="0.45">
      <c r="A370" s="1132" t="s">
        <v>726</v>
      </c>
      <c r="B370" s="1133" t="s">
        <v>727</v>
      </c>
      <c r="D370" s="1134" t="s">
        <v>114</v>
      </c>
    </row>
    <row r="371" spans="1:4" ht="33" x14ac:dyDescent="0.45">
      <c r="A371" s="1135" t="s">
        <v>728</v>
      </c>
      <c r="B371" s="1136" t="s">
        <v>729</v>
      </c>
      <c r="D371" s="1137" t="s">
        <v>114</v>
      </c>
    </row>
    <row r="372" spans="1:4" ht="33" x14ac:dyDescent="0.45">
      <c r="A372" s="1138" t="s">
        <v>730</v>
      </c>
      <c r="B372" s="1139" t="s">
        <v>731</v>
      </c>
      <c r="D372" s="1140" t="s">
        <v>114</v>
      </c>
    </row>
    <row r="373" spans="1:4" ht="33" x14ac:dyDescent="0.45">
      <c r="A373" s="1141" t="s">
        <v>732</v>
      </c>
      <c r="B373" s="1142" t="s">
        <v>733</v>
      </c>
      <c r="D373" s="1143" t="s">
        <v>114</v>
      </c>
    </row>
    <row r="374" spans="1:4" ht="33" x14ac:dyDescent="0.45">
      <c r="A374" s="1144" t="s">
        <v>734</v>
      </c>
      <c r="B374" s="1145" t="s">
        <v>735</v>
      </c>
      <c r="D374" s="1146" t="s">
        <v>114</v>
      </c>
    </row>
    <row r="375" spans="1:4" ht="33" x14ac:dyDescent="0.45">
      <c r="A375" s="1147" t="s">
        <v>736</v>
      </c>
      <c r="B375" s="1148" t="s">
        <v>737</v>
      </c>
      <c r="D375" s="1149" t="s">
        <v>114</v>
      </c>
    </row>
    <row r="376" spans="1:4" ht="33" x14ac:dyDescent="0.45">
      <c r="A376" s="1150" t="s">
        <v>738</v>
      </c>
      <c r="B376" s="1151" t="s">
        <v>739</v>
      </c>
      <c r="D376" s="1152" t="s">
        <v>114</v>
      </c>
    </row>
    <row r="377" spans="1:4" ht="33" x14ac:dyDescent="0.45">
      <c r="A377" s="1153" t="s">
        <v>740</v>
      </c>
      <c r="B377" s="1154" t="s">
        <v>741</v>
      </c>
      <c r="D377" s="1155" t="s">
        <v>114</v>
      </c>
    </row>
    <row r="378" spans="1:4" ht="33" x14ac:dyDescent="0.45">
      <c r="A378" s="1156" t="s">
        <v>742</v>
      </c>
      <c r="B378" s="1157" t="s">
        <v>743</v>
      </c>
      <c r="D378" s="1158" t="s">
        <v>114</v>
      </c>
    </row>
    <row r="379" spans="1:4" ht="33" x14ac:dyDescent="0.45">
      <c r="A379" s="1159" t="s">
        <v>744</v>
      </c>
      <c r="B379" s="1160" t="s">
        <v>745</v>
      </c>
      <c r="D379" s="1161" t="s">
        <v>114</v>
      </c>
    </row>
    <row r="380" spans="1:4" ht="33" x14ac:dyDescent="0.45">
      <c r="A380" s="1162" t="s">
        <v>746</v>
      </c>
      <c r="B380" s="1163" t="s">
        <v>747</v>
      </c>
      <c r="D380" s="1164" t="s">
        <v>114</v>
      </c>
    </row>
    <row r="381" spans="1:4" ht="33" x14ac:dyDescent="0.45">
      <c r="A381" s="1165" t="s">
        <v>748</v>
      </c>
      <c r="B381" s="1166" t="s">
        <v>749</v>
      </c>
      <c r="D381" s="1167" t="s">
        <v>114</v>
      </c>
    </row>
    <row r="382" spans="1:4" ht="33" x14ac:dyDescent="0.45">
      <c r="A382" s="1168" t="s">
        <v>750</v>
      </c>
      <c r="B382" s="1169" t="s">
        <v>751</v>
      </c>
      <c r="D382" s="1170" t="s">
        <v>114</v>
      </c>
    </row>
    <row r="383" spans="1:4" ht="33" x14ac:dyDescent="0.45">
      <c r="A383" s="1171" t="s">
        <v>752</v>
      </c>
      <c r="B383" s="1172" t="s">
        <v>753</v>
      </c>
      <c r="D383" s="1173" t="s">
        <v>114</v>
      </c>
    </row>
    <row r="384" spans="1:4" ht="33" x14ac:dyDescent="0.45">
      <c r="A384" s="1174" t="s">
        <v>754</v>
      </c>
      <c r="B384" s="1175" t="s">
        <v>755</v>
      </c>
      <c r="D384" s="1176" t="s">
        <v>114</v>
      </c>
    </row>
    <row r="385" spans="1:4" ht="33" x14ac:dyDescent="0.45">
      <c r="A385" s="1177" t="s">
        <v>756</v>
      </c>
      <c r="B385" s="1178" t="s">
        <v>757</v>
      </c>
      <c r="D385" s="1179" t="s">
        <v>114</v>
      </c>
    </row>
    <row r="386" spans="1:4" ht="33" x14ac:dyDescent="0.45">
      <c r="A386" s="1180" t="s">
        <v>758</v>
      </c>
      <c r="B386" s="1181" t="s">
        <v>759</v>
      </c>
      <c r="D386" s="1182" t="s">
        <v>114</v>
      </c>
    </row>
    <row r="387" spans="1:4" ht="33" x14ac:dyDescent="0.45">
      <c r="A387" s="1183" t="s">
        <v>760</v>
      </c>
      <c r="B387" s="1184" t="s">
        <v>761</v>
      </c>
      <c r="D387" s="1185" t="s">
        <v>114</v>
      </c>
    </row>
    <row r="388" spans="1:4" ht="33" x14ac:dyDescent="0.45">
      <c r="A388" s="1186" t="s">
        <v>762</v>
      </c>
      <c r="B388" s="1187" t="s">
        <v>27</v>
      </c>
      <c r="C388" s="1188" t="s">
        <v>763</v>
      </c>
      <c r="D388" s="1189" t="s">
        <v>114</v>
      </c>
    </row>
    <row r="389" spans="1:4" ht="33" x14ac:dyDescent="0.45">
      <c r="A389" s="1190" t="s">
        <v>764</v>
      </c>
      <c r="B389" s="1191" t="s">
        <v>765</v>
      </c>
      <c r="D389" s="1192" t="s">
        <v>114</v>
      </c>
    </row>
    <row r="390" spans="1:4" ht="33" x14ac:dyDescent="0.45">
      <c r="A390" s="1193" t="s">
        <v>766</v>
      </c>
      <c r="B390" s="1194" t="s">
        <v>767</v>
      </c>
      <c r="D390" s="1195" t="s">
        <v>114</v>
      </c>
    </row>
    <row r="391" spans="1:4" ht="33" x14ac:dyDescent="0.45">
      <c r="A391" s="1196" t="s">
        <v>768</v>
      </c>
      <c r="B391" s="1197" t="s">
        <v>769</v>
      </c>
      <c r="D391" s="1198" t="s">
        <v>114</v>
      </c>
    </row>
    <row r="392" spans="1:4" ht="33" x14ac:dyDescent="0.45">
      <c r="A392" s="1199" t="s">
        <v>770</v>
      </c>
      <c r="B392" s="1200" t="s">
        <v>771</v>
      </c>
      <c r="D392" s="1201" t="s">
        <v>114</v>
      </c>
    </row>
    <row r="393" spans="1:4" ht="33" x14ac:dyDescent="0.45">
      <c r="A393" s="1202" t="s">
        <v>772</v>
      </c>
      <c r="B393" s="1203" t="s">
        <v>773</v>
      </c>
      <c r="D393" s="1204" t="s">
        <v>114</v>
      </c>
    </row>
    <row r="394" spans="1:4" ht="33" x14ac:dyDescent="0.45">
      <c r="A394" s="1205" t="s">
        <v>774</v>
      </c>
      <c r="B394" s="1206" t="s">
        <v>775</v>
      </c>
      <c r="D394" s="1207" t="s">
        <v>114</v>
      </c>
    </row>
    <row r="395" spans="1:4" ht="33" x14ac:dyDescent="0.45">
      <c r="A395" s="1208" t="s">
        <v>776</v>
      </c>
      <c r="B395" s="1209" t="s">
        <v>777</v>
      </c>
      <c r="D395" s="1210" t="s">
        <v>114</v>
      </c>
    </row>
    <row r="396" spans="1:4" ht="16.5" x14ac:dyDescent="0.45">
      <c r="A396" s="1211" t="s">
        <v>778</v>
      </c>
      <c r="B396" s="1212" t="s">
        <v>28</v>
      </c>
      <c r="C396" s="1213" t="s">
        <v>779</v>
      </c>
      <c r="D396" s="1214" t="s">
        <v>114</v>
      </c>
    </row>
    <row r="397" spans="1:4" ht="33" x14ac:dyDescent="0.45">
      <c r="A397" s="1215" t="s">
        <v>780</v>
      </c>
      <c r="B397" s="1216" t="s">
        <v>781</v>
      </c>
      <c r="D397" s="1217" t="s">
        <v>114</v>
      </c>
    </row>
    <row r="398" spans="1:4" ht="33" x14ac:dyDescent="0.45">
      <c r="A398" s="1218" t="s">
        <v>782</v>
      </c>
      <c r="B398" s="1219" t="s">
        <v>783</v>
      </c>
      <c r="D398" s="1220" t="s">
        <v>114</v>
      </c>
    </row>
    <row r="399" spans="1:4" ht="16.5" x14ac:dyDescent="0.45">
      <c r="A399" s="1221" t="s">
        <v>784</v>
      </c>
      <c r="B399" s="1222" t="s">
        <v>29</v>
      </c>
      <c r="C399" s="1223" t="s">
        <v>785</v>
      </c>
      <c r="D399" s="1224" t="s">
        <v>114</v>
      </c>
    </row>
    <row r="400" spans="1:4" ht="33" x14ac:dyDescent="0.45">
      <c r="A400" s="1225" t="s">
        <v>786</v>
      </c>
      <c r="B400" s="1226" t="s">
        <v>787</v>
      </c>
      <c r="D400" s="1227" t="s">
        <v>114</v>
      </c>
    </row>
    <row r="401" spans="1:4" ht="33" x14ac:dyDescent="0.45">
      <c r="A401" s="1228" t="s">
        <v>788</v>
      </c>
      <c r="B401" s="1229" t="s">
        <v>789</v>
      </c>
      <c r="D401" s="1230" t="s">
        <v>114</v>
      </c>
    </row>
    <row r="402" spans="1:4" ht="33" x14ac:dyDescent="0.45">
      <c r="A402" s="1231" t="s">
        <v>790</v>
      </c>
      <c r="B402" s="1232" t="s">
        <v>791</v>
      </c>
      <c r="D402" s="1233" t="s">
        <v>114</v>
      </c>
    </row>
    <row r="403" spans="1:4" ht="33" x14ac:dyDescent="0.45">
      <c r="A403" s="1234" t="s">
        <v>792</v>
      </c>
      <c r="B403" s="1235" t="s">
        <v>793</v>
      </c>
      <c r="D403" s="1236" t="s">
        <v>114</v>
      </c>
    </row>
    <row r="404" spans="1:4" ht="49.5" x14ac:dyDescent="0.45">
      <c r="A404" s="1237" t="s">
        <v>794</v>
      </c>
      <c r="B404" s="1238" t="s">
        <v>30</v>
      </c>
      <c r="C404" s="1239" t="s">
        <v>795</v>
      </c>
      <c r="D404" s="1240" t="s">
        <v>114</v>
      </c>
    </row>
    <row r="405" spans="1:4" ht="33" x14ac:dyDescent="0.45">
      <c r="A405" s="1241" t="s">
        <v>796</v>
      </c>
      <c r="B405" s="1242" t="s">
        <v>797</v>
      </c>
      <c r="D405" s="1243" t="s">
        <v>114</v>
      </c>
    </row>
    <row r="406" spans="1:4" ht="49.5" x14ac:dyDescent="0.45">
      <c r="A406" s="1244" t="s">
        <v>798</v>
      </c>
      <c r="B406" s="1245" t="s">
        <v>799</v>
      </c>
      <c r="D406" s="1246" t="s">
        <v>114</v>
      </c>
    </row>
    <row r="407" spans="1:4" ht="33" x14ac:dyDescent="0.45">
      <c r="A407" s="1247" t="s">
        <v>800</v>
      </c>
      <c r="B407" s="1248" t="s">
        <v>801</v>
      </c>
      <c r="D407" s="1249" t="s">
        <v>114</v>
      </c>
    </row>
    <row r="408" spans="1:4" ht="49.5" x14ac:dyDescent="0.45">
      <c r="A408" s="1250" t="s">
        <v>802</v>
      </c>
      <c r="B408" s="1251" t="s">
        <v>803</v>
      </c>
      <c r="D408" s="1252" t="s">
        <v>114</v>
      </c>
    </row>
    <row r="409" spans="1:4" ht="16.5" x14ac:dyDescent="0.45">
      <c r="A409" s="1253" t="s">
        <v>804</v>
      </c>
      <c r="B409" s="1254" t="s">
        <v>31</v>
      </c>
      <c r="C409" s="1255" t="s">
        <v>805</v>
      </c>
      <c r="D409" s="1256" t="s">
        <v>114</v>
      </c>
    </row>
    <row r="410" spans="1:4" ht="33" x14ac:dyDescent="0.45">
      <c r="A410" s="1257" t="s">
        <v>678</v>
      </c>
      <c r="B410" s="1258" t="s">
        <v>20</v>
      </c>
      <c r="D410" s="1259" t="s">
        <v>114</v>
      </c>
    </row>
    <row r="411" spans="1:4" ht="33" x14ac:dyDescent="0.45">
      <c r="A411" s="1260" t="s">
        <v>806</v>
      </c>
      <c r="B411" s="1261" t="s">
        <v>807</v>
      </c>
      <c r="D411" s="1262" t="s">
        <v>114</v>
      </c>
    </row>
    <row r="412" spans="1:4" ht="33" x14ac:dyDescent="0.45">
      <c r="A412" s="1263" t="s">
        <v>808</v>
      </c>
      <c r="B412" s="1264" t="s">
        <v>809</v>
      </c>
      <c r="D412" s="1265" t="s">
        <v>114</v>
      </c>
    </row>
    <row r="413" spans="1:4" ht="33" x14ac:dyDescent="0.45">
      <c r="A413" s="1266" t="s">
        <v>810</v>
      </c>
      <c r="B413" s="1267" t="s">
        <v>811</v>
      </c>
      <c r="D413" s="1268" t="s">
        <v>114</v>
      </c>
    </row>
    <row r="414" spans="1:4" ht="16.5" x14ac:dyDescent="0.45">
      <c r="A414" s="1269" t="s">
        <v>812</v>
      </c>
      <c r="B414" s="1270" t="s">
        <v>32</v>
      </c>
      <c r="C414" s="1271" t="s">
        <v>813</v>
      </c>
      <c r="D414" s="1272" t="s">
        <v>114</v>
      </c>
    </row>
    <row r="415" spans="1:4" ht="33" x14ac:dyDescent="0.45">
      <c r="A415" s="1273" t="s">
        <v>814</v>
      </c>
      <c r="B415" s="1274" t="s">
        <v>815</v>
      </c>
      <c r="D415" s="1275" t="s">
        <v>114</v>
      </c>
    </row>
    <row r="416" spans="1:4" ht="33" x14ac:dyDescent="0.45">
      <c r="A416" s="1276" t="s">
        <v>816</v>
      </c>
      <c r="B416" s="1277" t="s">
        <v>817</v>
      </c>
      <c r="D416" s="1278" t="s">
        <v>114</v>
      </c>
    </row>
    <row r="417" spans="1:4" ht="16.5" x14ac:dyDescent="0.45">
      <c r="A417" s="1279" t="s">
        <v>818</v>
      </c>
      <c r="B417" s="1280" t="s">
        <v>33</v>
      </c>
      <c r="D417" s="1281" t="s">
        <v>114</v>
      </c>
    </row>
    <row r="418" spans="1:4" ht="33" x14ac:dyDescent="0.45">
      <c r="A418" s="1282" t="s">
        <v>819</v>
      </c>
      <c r="B418" s="1283" t="s">
        <v>34</v>
      </c>
      <c r="C418" s="1284" t="s">
        <v>820</v>
      </c>
      <c r="D418" s="1285" t="s">
        <v>114</v>
      </c>
    </row>
    <row r="419" spans="1:4" ht="16.5" x14ac:dyDescent="0.45">
      <c r="A419" s="1286" t="s">
        <v>821</v>
      </c>
      <c r="B419" s="1287" t="s">
        <v>822</v>
      </c>
      <c r="D419" s="1288" t="s">
        <v>114</v>
      </c>
    </row>
    <row r="420" spans="1:4" ht="16.5" x14ac:dyDescent="0.45">
      <c r="A420" s="1289" t="s">
        <v>823</v>
      </c>
      <c r="B420" s="1290" t="s">
        <v>824</v>
      </c>
      <c r="D420" s="1291" t="s">
        <v>114</v>
      </c>
    </row>
    <row r="421" spans="1:4" ht="16.5" x14ac:dyDescent="0.45">
      <c r="A421" s="1292" t="s">
        <v>825</v>
      </c>
      <c r="B421" s="1293" t="s">
        <v>826</v>
      </c>
      <c r="D421" s="1294" t="s">
        <v>114</v>
      </c>
    </row>
    <row r="422" spans="1:4" ht="16.5" x14ac:dyDescent="0.45">
      <c r="A422" s="1295" t="s">
        <v>827</v>
      </c>
      <c r="B422" s="1296" t="s">
        <v>35</v>
      </c>
      <c r="C422" s="1297" t="s">
        <v>828</v>
      </c>
      <c r="D422" s="1298" t="s">
        <v>114</v>
      </c>
    </row>
    <row r="423" spans="1:4" ht="16.5" x14ac:dyDescent="0.45">
      <c r="A423" s="1299" t="s">
        <v>115</v>
      </c>
      <c r="B423" s="1300" t="s">
        <v>116</v>
      </c>
      <c r="D423" s="1301" t="s">
        <v>114</v>
      </c>
    </row>
    <row r="424" spans="1:4" ht="16.5" x14ac:dyDescent="0.45">
      <c r="A424" s="1302" t="s">
        <v>829</v>
      </c>
      <c r="B424" s="1303" t="s">
        <v>36</v>
      </c>
      <c r="C424" s="1304" t="s">
        <v>830</v>
      </c>
      <c r="D424" s="1305" t="s">
        <v>114</v>
      </c>
    </row>
    <row r="425" spans="1:4" ht="33" x14ac:dyDescent="0.45">
      <c r="A425" s="1306" t="s">
        <v>831</v>
      </c>
      <c r="B425" s="1307" t="s">
        <v>832</v>
      </c>
      <c r="D425" s="1308" t="s">
        <v>114</v>
      </c>
    </row>
    <row r="426" spans="1:4" ht="33" x14ac:dyDescent="0.45">
      <c r="A426" s="1309" t="s">
        <v>833</v>
      </c>
      <c r="B426" s="1310" t="s">
        <v>834</v>
      </c>
      <c r="D426" s="1311" t="s">
        <v>114</v>
      </c>
    </row>
    <row r="427" spans="1:4" ht="16.5" x14ac:dyDescent="0.45">
      <c r="A427" s="1312" t="s">
        <v>835</v>
      </c>
      <c r="B427" s="1313" t="s">
        <v>37</v>
      </c>
      <c r="C427" s="1314" t="s">
        <v>836</v>
      </c>
      <c r="D427" s="1315" t="s">
        <v>114</v>
      </c>
    </row>
    <row r="428" spans="1:4" ht="33" x14ac:dyDescent="0.45">
      <c r="A428" s="1316" t="s">
        <v>837</v>
      </c>
      <c r="B428" s="1317" t="s">
        <v>838</v>
      </c>
      <c r="D428" s="1318" t="s">
        <v>114</v>
      </c>
    </row>
    <row r="429" spans="1:4" ht="33" x14ac:dyDescent="0.45">
      <c r="A429" s="1319" t="s">
        <v>839</v>
      </c>
      <c r="B429" s="1320" t="s">
        <v>840</v>
      </c>
      <c r="D429" s="1321" t="s">
        <v>114</v>
      </c>
    </row>
    <row r="430" spans="1:4" ht="33" x14ac:dyDescent="0.45">
      <c r="A430" s="1322" t="s">
        <v>841</v>
      </c>
      <c r="B430" s="1323" t="s">
        <v>842</v>
      </c>
      <c r="D430" s="1324" t="s">
        <v>114</v>
      </c>
    </row>
    <row r="431" spans="1:4" ht="33" x14ac:dyDescent="0.45">
      <c r="A431" s="1325" t="s">
        <v>843</v>
      </c>
      <c r="B431" s="1326" t="s">
        <v>844</v>
      </c>
      <c r="D431" s="1327" t="s">
        <v>114</v>
      </c>
    </row>
    <row r="432" spans="1:4" ht="16.5" x14ac:dyDescent="0.45">
      <c r="A432" s="1328" t="s">
        <v>845</v>
      </c>
      <c r="B432" s="1329" t="s">
        <v>38</v>
      </c>
      <c r="C432" s="1330" t="s">
        <v>846</v>
      </c>
      <c r="D432" s="1331" t="s">
        <v>114</v>
      </c>
    </row>
    <row r="433" spans="1:4" ht="33" x14ac:dyDescent="0.45">
      <c r="A433" s="1332" t="s">
        <v>847</v>
      </c>
      <c r="B433" s="1333" t="s">
        <v>848</v>
      </c>
      <c r="D433" s="1334" t="s">
        <v>114</v>
      </c>
    </row>
    <row r="434" spans="1:4" ht="33" x14ac:dyDescent="0.45">
      <c r="A434" s="1335" t="s">
        <v>849</v>
      </c>
      <c r="B434" s="1336" t="s">
        <v>850</v>
      </c>
      <c r="D434" s="1337" t="s">
        <v>114</v>
      </c>
    </row>
    <row r="435" spans="1:4" ht="33" x14ac:dyDescent="0.45">
      <c r="A435" s="1338" t="s">
        <v>851</v>
      </c>
      <c r="B435" s="1339" t="s">
        <v>852</v>
      </c>
      <c r="D435" s="1340" t="s">
        <v>114</v>
      </c>
    </row>
    <row r="436" spans="1:4" ht="33" x14ac:dyDescent="0.45">
      <c r="A436" s="1341" t="s">
        <v>853</v>
      </c>
      <c r="B436" s="1342" t="s">
        <v>854</v>
      </c>
      <c r="D436" s="134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Sheet0</vt:lpstr>
      <vt:lpstr>KPI(Counter)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Dongmo Kenfack Bryanne</cp:lastModifiedBy>
  <dcterms:created xsi:type="dcterms:W3CDTF">2026-03-09T15:22:48Z</dcterms:created>
  <dcterms:modified xsi:type="dcterms:W3CDTF">2026-03-09T17:45:21Z</dcterms:modified>
</cp:coreProperties>
</file>