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50054643\Downloads\"/>
    </mc:Choice>
  </mc:AlternateContent>
  <xr:revisionPtr revIDLastSave="0" documentId="13_ncr:1_{CE949463-0640-4637-8837-AF6FDAB2C8CA}" xr6:coauthVersionLast="47" xr6:coauthVersionMax="47" xr10:uidLastSave="{00000000-0000-0000-0000-000000000000}"/>
  <bookViews>
    <workbookView xWindow="-120" yWindow="-120" windowWidth="29040" windowHeight="18720" activeTab="1" xr2:uid="{00000000-000D-0000-FFFF-FFFF00000000}"/>
  </bookViews>
  <sheets>
    <sheet name="Sheet1" sheetId="3" r:id="rId1"/>
    <sheet name="Sheet2" sheetId="4" r:id="rId2"/>
    <sheet name="Sheet0" sheetId="1" r:id="rId3"/>
    <sheet name="KPI(Counter)" sheetId="2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3" i="1" l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2" i="1"/>
</calcChain>
</file>

<file path=xl/sharedStrings.xml><?xml version="1.0" encoding="utf-8"?>
<sst xmlns="http://schemas.openxmlformats.org/spreadsheetml/2006/main" count="2717" uniqueCount="993">
  <si>
    <t>Begin Time</t>
  </si>
  <si>
    <t>End Time</t>
  </si>
  <si>
    <t>Granularity</t>
  </si>
  <si>
    <t>SubnetWork ID</t>
  </si>
  <si>
    <t>SubnetWork Name</t>
  </si>
  <si>
    <t>ManagedElement ID</t>
  </si>
  <si>
    <t>RNC Managed NE</t>
  </si>
  <si>
    <t>NodeB ID</t>
  </si>
  <si>
    <t>NodeB Name</t>
  </si>
  <si>
    <t>ORA_3G_Cell Availability, excluding BLU (%)</t>
  </si>
  <si>
    <t>ORA_3G_CS Voice Traffic (Erl)</t>
  </si>
  <si>
    <t>ORA_3G_Traffic Total Data_MAC (GB)</t>
  </si>
  <si>
    <t>OCM_3G_CSSR_CS_CellPCH_URAPCH_New(%)</t>
  </si>
  <si>
    <t>OCM_3G_CSSR_PS_CellPCH_URAPCH_New(%)</t>
  </si>
  <si>
    <t>OCM_3G_CSSR_HSDPA_New(%)</t>
  </si>
  <si>
    <t>OCM_3G_CSSR_HSUPA_New(%)</t>
  </si>
  <si>
    <t>OCM_3G_Call_Drop_CS_New(%)</t>
  </si>
  <si>
    <t>ORA_3G_Call_Drop_PS_All_Data_Services_New(%)</t>
  </si>
  <si>
    <t>Duration of TCP congestion(s)</t>
  </si>
  <si>
    <t>Duration of code congestion(s)</t>
  </si>
  <si>
    <t>Duration of RTWP congestion(s)</t>
  </si>
  <si>
    <t>Duration of DL CE congestion(s)</t>
  </si>
  <si>
    <t>3G_RADIO_CONGESTION_NOM_CORP</t>
  </si>
  <si>
    <t>Blocking Rate of RAB Setup(Due to CE)(%)</t>
  </si>
  <si>
    <t>Blocking Rate of RAB Setup(Due to Cell Congestion)(%)</t>
  </si>
  <si>
    <t>Average Cell TCP Utilization Ratio(%)</t>
  </si>
  <si>
    <t>Cell Average RACH Utilization(%)</t>
  </si>
  <si>
    <t>Cell Average PCH Utilization(%)</t>
  </si>
  <si>
    <t>UL Block Error Rate(%)</t>
  </si>
  <si>
    <t>ORA_3G_Average CPICH ECNO (%)</t>
  </si>
  <si>
    <t>ORA_3G_Average RTWP (dBm)</t>
  </si>
  <si>
    <t>OCM_3G_Soft_Handover_SR_New(%)</t>
  </si>
  <si>
    <t>OCM_3G_IFHO_SR_New(%)</t>
  </si>
  <si>
    <t>ORA_3G_to_2G_Handover-Success_Rate-Speech_New</t>
  </si>
  <si>
    <t>ORA_3G_Soft Handover Overhead (%)</t>
  </si>
  <si>
    <t>frame_loss_rate</t>
  </si>
  <si>
    <t>Number of RRC connection attempts due to call re-establishment</t>
  </si>
  <si>
    <t>REC_3G_NB_RAB_FAILURE_CAUSE_BTS</t>
  </si>
  <si>
    <t>REC_3G_NB_RAB_FAILURE_CAUSE_IUB</t>
  </si>
  <si>
    <t>REC_3G_RAB_FAILURE_RATE_CAUSE_ULDL_POWER</t>
  </si>
  <si>
    <t>Number of RRC connection re-establishment attempts</t>
  </si>
  <si>
    <t>Success Ratio of Paging Message Sending for Cell Level(%)</t>
  </si>
  <si>
    <t>Cell Average FACH Utilization(%)</t>
  </si>
  <si>
    <t>3G_Downtime_Combine (en s)</t>
  </si>
  <si>
    <t>OCM_3G Active users</t>
  </si>
  <si>
    <t>Average UL HSUPA RAB throughput(KByte/s)</t>
  </si>
  <si>
    <t>Average DL HSDPA RAB throughput(KByte/s)</t>
  </si>
  <si>
    <t>1 hour</t>
  </si>
  <si>
    <t>KPI or Counter</t>
  </si>
  <si>
    <t>KPI or Counter Description</t>
  </si>
  <si>
    <t>Indicator Formula</t>
  </si>
  <si>
    <t>KPI or Counter Status</t>
  </si>
  <si>
    <t>1629875102000</t>
  </si>
  <si>
    <t>C310464560/(NO*Gr)</t>
  </si>
  <si>
    <t>Normal</t>
  </si>
  <si>
    <t>C310464560</t>
  </si>
  <si>
    <t>Service time of the cell(s)</t>
  </si>
  <si>
    <t>1629875102022</t>
  </si>
  <si>
    <t>(C310040001+C310040002+C310040003+C310040004+C310040005+C310040006+C310040007+C310040008+C310040009+C310040010+C310040011+C310040012+C310040013+C310040014+C310040015+C310040016+C310040017)/3600</t>
  </si>
  <si>
    <t>C310040008</t>
  </si>
  <si>
    <t>Holding time of CS AMR4.75 services in the best cell(s)</t>
  </si>
  <si>
    <t>C310040007</t>
  </si>
  <si>
    <t>Holding time of CS AMR5.15 services in the best cell(s)</t>
  </si>
  <si>
    <t>C310040006</t>
  </si>
  <si>
    <t>Holding time of CS AMR5.9 services in the best cell(s)</t>
  </si>
  <si>
    <t>C310040017</t>
  </si>
  <si>
    <t>Holding time of CS WB-AMR6.60 services in the best cell(s)</t>
  </si>
  <si>
    <t>C310040005</t>
  </si>
  <si>
    <t>Holding time of CS AMR6.7 services in the best cell(s)</t>
  </si>
  <si>
    <t>C310040016</t>
  </si>
  <si>
    <t>Holding time of CS WB-AMR8.85 services in the best cell(s)</t>
  </si>
  <si>
    <t>C310040009</t>
  </si>
  <si>
    <t>Holding time of CS WB-AMR23.85 services in the best cell(s)</t>
  </si>
  <si>
    <t>C310040011</t>
  </si>
  <si>
    <t>Holding time of CS WB-AMR19.85 services in the best cell(s)</t>
  </si>
  <si>
    <t>C310040010</t>
  </si>
  <si>
    <t>Holding time of CS WB-AMR23.05 services in the best cell(s)</t>
  </si>
  <si>
    <t>C310040004</t>
  </si>
  <si>
    <t>Holding time of CS AMR7.4 services in the best cell(s)</t>
  </si>
  <si>
    <t>C310040015</t>
  </si>
  <si>
    <t>Holding time of CS WB-AMR12.65 services in the best cell(s)</t>
  </si>
  <si>
    <t>C310040003</t>
  </si>
  <si>
    <t>Holding time of CS AMR7.95 services in the best cell(s)</t>
  </si>
  <si>
    <t>C310040014</t>
  </si>
  <si>
    <t>Holding time of CS WB-AMR14.25 services in the best cell(s)</t>
  </si>
  <si>
    <t>C310040002</t>
  </si>
  <si>
    <t>Holding time of CS AMR10.2 services in the best cell(s)</t>
  </si>
  <si>
    <t>C310040013</t>
  </si>
  <si>
    <t>Holding time of CS WB-AMR15.85 services in the best cell(s)</t>
  </si>
  <si>
    <t>C310040001</t>
  </si>
  <si>
    <t>Holding time of CS AMR12.2 services in the best cell(s)</t>
  </si>
  <si>
    <t>C310040012</t>
  </si>
  <si>
    <t>Holding time of CS WB-AMR18.25 services in the best cell(s)</t>
  </si>
  <si>
    <t>1709710925062</t>
  </si>
  <si>
    <t>((C310010194+C310010195+C310010196+C310010197+C310010198+C310010199+C310010200+C310010201+C310010209+C310010210+C310010211+C310010212+C310010213+C310010214+C310010215+C310010216+C310010224+C310010225+C310010226+C310010227+C310010228+C310010229+C310010230+C310010231+C310010858+C310010859+C310010860)+(C310010157+C310010158+C310010159+C310010160)+(C310010188+C310010189+C310010190+C310010191+C310010192+C310010193+C310010202+C310010203+C310010204+C310010205+C310010206+C310010207+C310010208+C310010217+C310010218+C310010219+C310010220+C310010221+C310010222+C310010223+C310010796+C310010797+C310010798+C310010799)+(C310010153+C310010154+C310010155+C310010156))/(1000*1000)</t>
  </si>
  <si>
    <t>C310010210</t>
  </si>
  <si>
    <t>DL traffic of PS Class I 32K services on DCHs in the best cell(kBytes)</t>
  </si>
  <si>
    <t>C310010212</t>
  </si>
  <si>
    <t>DL traffic of PS Class I 128K services on DCHs in the best cell(kBytes)</t>
  </si>
  <si>
    <t>C310010211</t>
  </si>
  <si>
    <t>DL traffic of PS Class I 64K services on DCHs in the best cell(kBytes)</t>
  </si>
  <si>
    <t>C310010214</t>
  </si>
  <si>
    <t>DL traffic of PS Class I 256K services on DCHs in the best cell(kBytes)</t>
  </si>
  <si>
    <t>C310010213</t>
  </si>
  <si>
    <t>DL traffic of PS Class I 144K services on DCHs in the best cell(kBytes)</t>
  </si>
  <si>
    <t>C310010216</t>
  </si>
  <si>
    <t>DL traffic of other PS Class I services on DCHs in the best cell(kBytes)</t>
  </si>
  <si>
    <t>C310010215</t>
  </si>
  <si>
    <t>DL traffic of PS Class I 384K services on DCHs in the best cell(kBytes)</t>
  </si>
  <si>
    <t>C310010218</t>
  </si>
  <si>
    <t>UL traffic of PS Class B 16K services on DCHs in the best cell(kBytes)</t>
  </si>
  <si>
    <t>C310010217</t>
  </si>
  <si>
    <t>UL traffic of PS Class B 8K services on DCHs in the best cell(kBytes)</t>
  </si>
  <si>
    <t>C310010858</t>
  </si>
  <si>
    <t>DL traffic of PS Class S 16K services on DCHs in the best cell(kBytes)</t>
  </si>
  <si>
    <t>C310010219</t>
  </si>
  <si>
    <t>UL traffic of PS Class B 32K services on DCHs in the best cell(kBytes)</t>
  </si>
  <si>
    <t>C310010859</t>
  </si>
  <si>
    <t>DL traffic of PS Class I 16K services on DCHs in the best cell(kBytes)</t>
  </si>
  <si>
    <t>C310010188</t>
  </si>
  <si>
    <t>UL traffic of PS Class S 8K services on DCHs in the best cell(kBytes)</t>
  </si>
  <si>
    <t>C310010221</t>
  </si>
  <si>
    <t>UL traffic of PS Class B 128K services on DCHs in the best cell(kBytes)</t>
  </si>
  <si>
    <t>C310010220</t>
  </si>
  <si>
    <t>UL traffic of PS Class B 64K services on DCHs in the best cell(kBytes)</t>
  </si>
  <si>
    <t>C310010223</t>
  </si>
  <si>
    <t>UL traffic of other PS Class B services on DCHs in the best cell(kBytes)</t>
  </si>
  <si>
    <t>C310010860</t>
  </si>
  <si>
    <t>DL traffic of PS Class B 16K services on DCHs in the best cell(kBytes)</t>
  </si>
  <si>
    <t>C310010189</t>
  </si>
  <si>
    <t>UL traffic of PS Class S 16K services on DCHs in the best cell(kBytes)</t>
  </si>
  <si>
    <t>C310010222</t>
  </si>
  <si>
    <t>UL traffic of PS Class B 384K services on DCHs in the best cell(kBytes)</t>
  </si>
  <si>
    <t>C310010225</t>
  </si>
  <si>
    <t>DL traffic of PS Class B 32K services on DCHs in the best cell(kBytes)</t>
  </si>
  <si>
    <t>C310010224</t>
  </si>
  <si>
    <t>DL traffic of PS Class B 8K services on DCHs in the best cell(kBytes)</t>
  </si>
  <si>
    <t>C310010227</t>
  </si>
  <si>
    <t>DL traffic of PS Class B 128K services on DCHs in the best cell(kBytes)</t>
  </si>
  <si>
    <t>C310010226</t>
  </si>
  <si>
    <t>DL traffic of PS Class B 64K services on DCHs in the best cell(kBytes)</t>
  </si>
  <si>
    <t>C310010229</t>
  </si>
  <si>
    <t>DL traffic of PS Class B 256K services on DCHs in the best cell(kBytes)</t>
  </si>
  <si>
    <t>C310010228</t>
  </si>
  <si>
    <t>DL traffic of PS Class B 144K services on DCHs in the best cell(kBytes)</t>
  </si>
  <si>
    <t>C310010199</t>
  </si>
  <si>
    <t>DL traffic of PS Class S 256K services on DCHs in the best cell(kBytes)</t>
  </si>
  <si>
    <t>C310010155</t>
  </si>
  <si>
    <t>UL RAB traffic of Class I services on HSUPA channels in the best cell(kBytes)</t>
  </si>
  <si>
    <t>C310010198</t>
  </si>
  <si>
    <t>DL traffic of PS Class S 144K services on DCHs in the best cell(kBytes)</t>
  </si>
  <si>
    <t>C310010231</t>
  </si>
  <si>
    <t>DL traffic of other PS Class B services on DCHs in the best cell(kBytes)</t>
  </si>
  <si>
    <t>C310010154</t>
  </si>
  <si>
    <t>UL RAB traffic of Class S services on HSUPA channels in the best cell(kBytes)</t>
  </si>
  <si>
    <t>C310010157</t>
  </si>
  <si>
    <t>DL RAB traffic of Class C services on HSDPA channels in the best cell(kBytes)</t>
  </si>
  <si>
    <t>C310010156</t>
  </si>
  <si>
    <t>UL RAB traffic of Class B services on HSUPA channels in the best cell(kBytes)</t>
  </si>
  <si>
    <t>C310010159</t>
  </si>
  <si>
    <t>DL RAB traffic of Class I services on HSDPA channels in the best cell(kBytes)</t>
  </si>
  <si>
    <t>C310010797</t>
  </si>
  <si>
    <t>UL traffic of PS Class S 256K services on DCHs in the best cell(kBytes)</t>
  </si>
  <si>
    <t>C310010158</t>
  </si>
  <si>
    <t>DL RAB traffic of Class S services on HSDPA channels in the best cell(kBytes)</t>
  </si>
  <si>
    <t>C310010796</t>
  </si>
  <si>
    <t>UL traffic of PS Class S 128K services on DCHs in the best cell(kBytes)</t>
  </si>
  <si>
    <t>C310010799</t>
  </si>
  <si>
    <t>UL traffic of PS Class B 256K services on DCHs in the best cell(kBytes)</t>
  </si>
  <si>
    <t>C310010798</t>
  </si>
  <si>
    <t>UL traffic of PS Class I 256K services on DCHs in the best cell(kBytes)</t>
  </si>
  <si>
    <t>C310010191</t>
  </si>
  <si>
    <t>UL traffic of PS Class S 64K services on DCHs in the best cell(kBytes)</t>
  </si>
  <si>
    <t>C310010190</t>
  </si>
  <si>
    <t>UL traffic of PS Class S 32K services on DCHs in the best cell(kBytes)</t>
  </si>
  <si>
    <t>C310010193</t>
  </si>
  <si>
    <t>UL traffic of other PS Class S services on DCHs in the best cell(kBytes)</t>
  </si>
  <si>
    <t>C310010192</t>
  </si>
  <si>
    <t>UL traffic of PS Class S 384K services on DCHs in the best cell(kBytes)</t>
  </si>
  <si>
    <t>C310010195</t>
  </si>
  <si>
    <t>DL traffic of PS Class S 32K services on DCHs in the best cell(kBytes)</t>
  </si>
  <si>
    <t>C310010194</t>
  </si>
  <si>
    <t>DL traffic of PS Class S 8K services on DCHs in the best cell(kBytes)</t>
  </si>
  <si>
    <t>C310010197</t>
  </si>
  <si>
    <t>DL traffic of PS Class S 128K services on DCHs in the best cell(kBytes)</t>
  </si>
  <si>
    <t>C310010230</t>
  </si>
  <si>
    <t>DL traffic of PS Class B 384K services on DCHs in the best cell(kBytes)</t>
  </si>
  <si>
    <t>C310010153</t>
  </si>
  <si>
    <t>UL RAB traffic of Class C services on HSUPA channels in the best cell(kBytes)</t>
  </si>
  <si>
    <t>C310010196</t>
  </si>
  <si>
    <t>DL traffic of PS Class S 64K services on DCHs in the best cell(kBytes)</t>
  </si>
  <si>
    <t>C310010201</t>
  </si>
  <si>
    <t>DL traffic of other PS Class S services on DCHs in the best cell(kBytes)</t>
  </si>
  <si>
    <t>C310010200</t>
  </si>
  <si>
    <t>DL traffic of PS Class S 384K services on DCHs in the best cell(kBytes)</t>
  </si>
  <si>
    <t>C310010203</t>
  </si>
  <si>
    <t>UL traffic of PS Class I 16K services on DCHs in the best cell(kBytes)</t>
  </si>
  <si>
    <t>C310010202</t>
  </si>
  <si>
    <t>UL traffic of PS Class I 8K services on DCHs in the best cell(kBytes)</t>
  </si>
  <si>
    <t>C310010205</t>
  </si>
  <si>
    <t>UL traffic of PS Class I 64K services on DCHs in the best cell(kBytes)</t>
  </si>
  <si>
    <t>C310010204</t>
  </si>
  <si>
    <t>UL traffic of PS Class I 32K services on DCHs in the best cell(kBytes)</t>
  </si>
  <si>
    <t>C310010207</t>
  </si>
  <si>
    <t>UL traffic of PS Class I 384K services on DCHs in the best cell(kBytes)</t>
  </si>
  <si>
    <t>C310010206</t>
  </si>
  <si>
    <t>UL traffic of PS Class I 128K services on DCHs in the best cell(kBytes)</t>
  </si>
  <si>
    <t>C310010209</t>
  </si>
  <si>
    <t>DL traffic of PS Class I 8K services on DCHs in the best cell(kBytes)</t>
  </si>
  <si>
    <t>C310010208</t>
  </si>
  <si>
    <t>UL traffic of other PS Class I services on DCHs in the best cell(kBytes)</t>
  </si>
  <si>
    <t>C310010160</t>
  </si>
  <si>
    <t>DL RAB traffic of Class B services on HSDPA channels in the best cell(kBytes)</t>
  </si>
  <si>
    <t>1709710925334</t>
  </si>
  <si>
    <t>100*(C310080170+C310080177+C310080185+ C310577553)/((C310080001+C310080008+C310080016)-(C310080023+C310080030+C310080038)+C310577550-C310577699)*(C310100711-C314137087-C314137089-C314137091-C314137093-C314137095-C314137097)/(C310090252-C314137086-C314137088-C314137090-C314137092-C314137094-C314137096)</t>
  </si>
  <si>
    <t>C310100711</t>
  </si>
  <si>
    <t>Number of successful RAB establishment in the CS domain for conversational services</t>
  </si>
  <si>
    <t>C310080185</t>
  </si>
  <si>
    <t>Number of successful RRC connection access for emergency calls</t>
  </si>
  <si>
    <t>C310080001</t>
  </si>
  <si>
    <t>Number of RRC connection attempts due to originating conversational calls</t>
  </si>
  <si>
    <t>C310080023</t>
  </si>
  <si>
    <t>Number of repeated RRC connection attempts due to originating conversational calls</t>
  </si>
  <si>
    <t>C310080008</t>
  </si>
  <si>
    <t>Number of RRC connection attempts due to terminating conversational calls</t>
  </si>
  <si>
    <t>C314137088</t>
  </si>
  <si>
    <t>Number of RAB establishment attempts for concurrent CS speech AMR-NB services (RRC in PCH status previously)</t>
  </si>
  <si>
    <t>C314137089</t>
  </si>
  <si>
    <t>Number of successful RAB establishment for concurrent CS speech AMR-NB services (RRC in PCH status previously)</t>
  </si>
  <si>
    <t>C314137086</t>
  </si>
  <si>
    <t>Number of RAB establishment attempts for concurrent CS speech AMR-NB services (RRC in FACH status previously)</t>
  </si>
  <si>
    <t>C314137087</t>
  </si>
  <si>
    <t>Number of successful RAB establishment for concurrent CS speech AMR-NB services (RRC in FACH status previously)</t>
  </si>
  <si>
    <t>C310090252</t>
  </si>
  <si>
    <t>Number of RAB establishment attempts in the CS domain for conversational services</t>
  </si>
  <si>
    <t>C310577699</t>
  </si>
  <si>
    <t>Number of repeated CS service Cell Update in PCH</t>
  </si>
  <si>
    <t>C310080170</t>
  </si>
  <si>
    <t>Number of successful RRC connection access for originating conversational calls</t>
  </si>
  <si>
    <t>C310080030</t>
  </si>
  <si>
    <t>Number of repeated RRC connection attempts due to terminating conversational calls</t>
  </si>
  <si>
    <t>C310080177</t>
  </si>
  <si>
    <t>Number of successful RRC connection access for terminating conversational calls</t>
  </si>
  <si>
    <t>C310080016</t>
  </si>
  <si>
    <t>Number of RRC connection attempts due to emergency calls</t>
  </si>
  <si>
    <t>C310080038</t>
  </si>
  <si>
    <t>Number of repeated RRC connection attempts due to emergency calls</t>
  </si>
  <si>
    <t>C314137097</t>
  </si>
  <si>
    <t>Number of successful RAB establishment for concurrent CS speech AMR-WB services (RRC in DCH status previously)</t>
  </si>
  <si>
    <t>C314137095</t>
  </si>
  <si>
    <t>Number of successful RAB establishment for concurrent CS speech AMR-WB services (RRC in PCH status previously)</t>
  </si>
  <si>
    <t>C314137096</t>
  </si>
  <si>
    <t>Number of RAB establishment attempts for concurrent CS speech AMR-WB services (RRC in DCH status previously)</t>
  </si>
  <si>
    <t>C314137093</t>
  </si>
  <si>
    <t>Number of successful RAB establishment for concurrent CS speech AMR-WB services (RRC in FACH status previously)</t>
  </si>
  <si>
    <t>C314137094</t>
  </si>
  <si>
    <t>Number of RAB establishment attempts for concurrent CS speech AMR-WB services (RRC in PCH status previously)</t>
  </si>
  <si>
    <t>C314137091</t>
  </si>
  <si>
    <t>Number of successful RAB establishment for concurrent CS speech AMR-NB services (RRC in DCH status previously)</t>
  </si>
  <si>
    <t>C314137092</t>
  </si>
  <si>
    <t>Number of RAB establishment attempts for concurrent CS speech AMR-WB services (RRC in FACH status previously)</t>
  </si>
  <si>
    <t>C310577550</t>
  </si>
  <si>
    <t>Number of CS service Cell Update in PCH</t>
  </si>
  <si>
    <t>C314137090</t>
  </si>
  <si>
    <t>Number of RAB establishment attempts for concurrent CS speech AMR-NB services (RRC in DCH status previously)</t>
  </si>
  <si>
    <t>C310577553</t>
  </si>
  <si>
    <t>Number of successful CS service Cell Update in PCH</t>
  </si>
  <si>
    <t>1709710925088</t>
  </si>
  <si>
    <t>100*(P1709710926833/(P1709710926833+P1709710926831)*(P1709710926832/P1709710926833)*((C310100736+C310100739+C310100752+C310100768-C314137099)/(C310090277+C310090280+C310090293+C310090309-C314137098))+P1709710926925*P1709710926923)</t>
  </si>
  <si>
    <t>1709710926832</t>
  </si>
  <si>
    <t>ORA_3G_RRC_PS _SUCC</t>
  </si>
  <si>
    <t>(C310080171+C310080172+C310080173+C310080174+C310080175+C310080178+C310080179+C310080180+C310080181)</t>
  </si>
  <si>
    <t>C310080172</t>
  </si>
  <si>
    <t>Number of successful RRC connection access for originating interactive calls</t>
  </si>
  <si>
    <t>C310080171</t>
  </si>
  <si>
    <t>Number of successful RRC connection access for originating streaming calls</t>
  </si>
  <si>
    <t>C310080181</t>
  </si>
  <si>
    <t>Number of successful RRC connection access due to terminating high-priority signaling</t>
  </si>
  <si>
    <t>C310080180</t>
  </si>
  <si>
    <t>Number of successful RRC connection access for terminating background calls</t>
  </si>
  <si>
    <t>C310080175</t>
  </si>
  <si>
    <t>Number of successful RRC connection access due to originating high-priority signaling</t>
  </si>
  <si>
    <t>C310080174</t>
  </si>
  <si>
    <t>Number of successful RRC connection access for originating customized calls</t>
  </si>
  <si>
    <t>C310080173</t>
  </si>
  <si>
    <t>Number of successful RRC connection access for originating background calls</t>
  </si>
  <si>
    <t>C310080179</t>
  </si>
  <si>
    <t>Number of successful RRC connection access for terminating interactive calls</t>
  </si>
  <si>
    <t>C310080178</t>
  </si>
  <si>
    <t>Number of successful RRC connection access for terminating streaming calls</t>
  </si>
  <si>
    <t>1709710926831</t>
  </si>
  <si>
    <t>ORA_3G_Upswitch_PS_ATT</t>
  </si>
  <si>
    <t>(C310577551-C310577700)</t>
  </si>
  <si>
    <t>C310577700</t>
  </si>
  <si>
    <t>Number of repeated PS service Cell Update in PCH</t>
  </si>
  <si>
    <t>C310577551</t>
  </si>
  <si>
    <t>Number of PS service Cell Update in PCH</t>
  </si>
  <si>
    <t>1709710926833</t>
  </si>
  <si>
    <t>ORA_3G_RRC_PS_ATT</t>
  </si>
  <si>
    <t>(C310080002+C310080003+C310080004+C310080005+C310080006+C310080009+C310080010+C310080011+C310080012)-(C310080024+C310080025+C310080026+C310080027+C310080028+C310080031+C310080032+C310080033+C310080034)</t>
  </si>
  <si>
    <t>C310080011</t>
  </si>
  <si>
    <t>Number of RRC connection attempts due to terminating background calls</t>
  </si>
  <si>
    <t>C310080033</t>
  </si>
  <si>
    <t>Number of repeated RRC connection attempts due to terminating background calls</t>
  </si>
  <si>
    <t>C310080010</t>
  </si>
  <si>
    <t>Number of RRC connection attempts due to terminating interactive calls</t>
  </si>
  <si>
    <t>C310080032</t>
  </si>
  <si>
    <t>Number of repeated RRC connection attempts due to terminating interactive calls</t>
  </si>
  <si>
    <t>C310080031</t>
  </si>
  <si>
    <t>Number of repeated RRC connection attempts due to terminating streaming calls</t>
  </si>
  <si>
    <t>C310080004</t>
  </si>
  <si>
    <t>Number of RRC connection attempts due to originating background calls</t>
  </si>
  <si>
    <t>C310080026</t>
  </si>
  <si>
    <t>Number of repeated RRC connection attempts due to originating background calls</t>
  </si>
  <si>
    <t>C310080003</t>
  </si>
  <si>
    <t>Number of RRC connection attempts due to originating interactive calls</t>
  </si>
  <si>
    <t>C310080025</t>
  </si>
  <si>
    <t>Number of repeated RRC connection attempts due to originating interactive calls</t>
  </si>
  <si>
    <t>C310080002</t>
  </si>
  <si>
    <t>Number of RRC connection attempts due to originating streaming calls</t>
  </si>
  <si>
    <t>C310080024</t>
  </si>
  <si>
    <t>Number of repeated RRC connection attempts due to originating streaming calls</t>
  </si>
  <si>
    <t>C310080012</t>
  </si>
  <si>
    <t>Number of RRC connection attempts due to terminating high-priority signaling</t>
  </si>
  <si>
    <t>C310080034</t>
  </si>
  <si>
    <t>Number of repeated RRC connection attempts due to terminating high-priority signaling</t>
  </si>
  <si>
    <t>C310080006</t>
  </si>
  <si>
    <t>Number of RRC connection attempts due to originating high-priority signaling</t>
  </si>
  <si>
    <t>C310080028</t>
  </si>
  <si>
    <t>Number of repeated RRC connection attempts due to originating high-priority signaling</t>
  </si>
  <si>
    <t>C310080005</t>
  </si>
  <si>
    <t>Number of RRC connection attempts due to originating customized calls</t>
  </si>
  <si>
    <t>C310080027</t>
  </si>
  <si>
    <t>Number of repeated RRC connection attempts due to originating customized calls</t>
  </si>
  <si>
    <t>C310080009</t>
  </si>
  <si>
    <t>Number of RRC connection attempts due to terminating streaming calls</t>
  </si>
  <si>
    <t>1709710926923</t>
  </si>
  <si>
    <t>ORA_3G_Upswitch_PS_SR</t>
  </si>
  <si>
    <t>(C310577553/(C310577551-C310577700))</t>
  </si>
  <si>
    <t>1709710926925</t>
  </si>
  <si>
    <t>ORA_3G_Upswitch_PS_ATT_Ratio</t>
  </si>
  <si>
    <t>((C310577551-C310577700)/((C310577551-C310577700)+(C310080002+C310080003+C310080004+C310080005+C310080006+C310080009+C310080010+C310080011+C310080012)-(C310080024+C310080025+C310080026+C310080027+C310080028+C310080031+C310080032+C310080033+C310080034)))</t>
  </si>
  <si>
    <t>C310100768</t>
  </si>
  <si>
    <t>Number of successful RAB establishment in the PS domain for background services</t>
  </si>
  <si>
    <t>C314137099</t>
  </si>
  <si>
    <t>Number of successful RAB establishment for concurrent PS services</t>
  </si>
  <si>
    <t>C310090280</t>
  </si>
  <si>
    <t>Number of RAB establishment attempts in the PS domain for streaming services</t>
  </si>
  <si>
    <t>C314137098</t>
  </si>
  <si>
    <t>Number of RAB establishment attempts for concurrent PS services</t>
  </si>
  <si>
    <t>C310100752</t>
  </si>
  <si>
    <t>Number of successful RAB establishment in the PS domain for interactive services</t>
  </si>
  <si>
    <t>C310090293</t>
  </si>
  <si>
    <t>Number of RAB establishment attempts in the PS domain for interactive services</t>
  </si>
  <si>
    <t>C310090309</t>
  </si>
  <si>
    <t>Number of RAB establishment attempts in the PS domain for background services</t>
  </si>
  <si>
    <t>C310090277</t>
  </si>
  <si>
    <t>Number of RAB establishment attempts in the PS domain for conversational services</t>
  </si>
  <si>
    <t>C310100739</t>
  </si>
  <si>
    <t>Number of successful RAB establishment in the PS domain for streaming services</t>
  </si>
  <si>
    <t>C310100736</t>
  </si>
  <si>
    <t>Number of successful RAB establishment in the PS domain for conversational services</t>
  </si>
  <si>
    <t>1709710925092</t>
  </si>
  <si>
    <t>100*(C310080171+C310080172+C310080173+C310080174+C310080175+C310080178+C310080179+C310080180+C310080181+C310080188)/((C310080002+C310080003+C310080004+C310080005+C310080006+C310080009+C310080010+C310080011+C310080012+C310080020)-(C310080024+C310080025+C310080026+C310080027+C310080028+C310080031+C310080032+C310080033+C310080034+C310080042))*((C310170832+C310170851+C310170870)/((C310170832+C310170851+C310170870)+(C310170484+C310170503+C310170522)))</t>
  </si>
  <si>
    <t>C310170522</t>
  </si>
  <si>
    <t>Number of HSDPA RAB establishment failures in the PS domain for background services</t>
  </si>
  <si>
    <t>C310080020</t>
  </si>
  <si>
    <t>C310080042</t>
  </si>
  <si>
    <t>Number of repeated RRC connection attempts due to call re-establishment</t>
  </si>
  <si>
    <t>C310170503</t>
  </si>
  <si>
    <t>Number of HSDPA RAB establishment failures in the PS domain for interactive services</t>
  </si>
  <si>
    <t>C310080188</t>
  </si>
  <si>
    <t>Number of successful RRC connection access for call re-establishment</t>
  </si>
  <si>
    <t>C310170484</t>
  </si>
  <si>
    <t>Number of HSDPA RAB establishment failures in the PS domain for streaming services</t>
  </si>
  <si>
    <t>C310170851</t>
  </si>
  <si>
    <t>Number of successful HSDPA RAB establishment in the PS domain for interactive services</t>
  </si>
  <si>
    <t>C310170832</t>
  </si>
  <si>
    <t>Number of successful HSDPA RAB establishment in the PS domain for streaming services</t>
  </si>
  <si>
    <t>C310170870</t>
  </si>
  <si>
    <t>Number of successful HSDPA RAB establishment in the PS domain for background services</t>
  </si>
  <si>
    <t>1709710925093</t>
  </si>
  <si>
    <t>100*(C310080171+C310080172+C310080173+C310080174+C310080175+C310080178+C310080179+C310080180+C310080181+C310080188)/((C310080002+C310080003+C310080004+C310080005+C310080006+C310080009+C310080010+C310080011+C310080012+C310080020)-(C310080024+C310080025+C310080026+C310080027+C310080028+C310080031+C310080032+C310080033+C310080034+C310080042))*((C310170843+C310170862+C310170881)/((C310170843+C310170862+C310170881) + (C310170495+C310170514+C310170533)))</t>
  </si>
  <si>
    <t>C310170862</t>
  </si>
  <si>
    <t>Number of successful HSUPA RAB establishment in the PS domain for interactive services</t>
  </si>
  <si>
    <t>C310170843</t>
  </si>
  <si>
    <t>Number of successful HSUPA RAB establishment in the PS domain for streaming services</t>
  </si>
  <si>
    <t>C310170881</t>
  </si>
  <si>
    <t>Number of successful HSUPA RAB establishment in the PS domain for background services</t>
  </si>
  <si>
    <t>C310170533</t>
  </si>
  <si>
    <t>Number of HSUPA RAB establishment failures in the PS domain for background services</t>
  </si>
  <si>
    <t>C310170514</t>
  </si>
  <si>
    <t>Number of HSUPA RAB establishment failures in the PS domain for interactive services</t>
  </si>
  <si>
    <t>C310170495</t>
  </si>
  <si>
    <t>Number of HSUPA RAB establishment failures in the PS domain for streaming services</t>
  </si>
  <si>
    <t>1709710925336</t>
  </si>
  <si>
    <t>100*(C310231162+C310231163+C310231164+C310231165+C310231166+C310231167+C310231168+C310231169+C310231170+C310231171+C310231172+C310231173+C310231174+C310231175+C310231176+C310231177+C310231178+C310231179+C310231180+C310231181+C310231182+C310231183+C310231184)/(C310231185+C310231186+C310231187+C310231188+C310231189+C310231190+C310231191+C310231192+C310231193+C310231194+C310231195+C310231196+C310231197+C310231198+C310231199+C310231200+C310231201+C310231202+C310231203+C310231204+C310231205+C310231206+C310231207)</t>
  </si>
  <si>
    <t>C310231206</t>
  </si>
  <si>
    <t>Total number of released RABs of CS-domain interactive services</t>
  </si>
  <si>
    <t>C310231205</t>
  </si>
  <si>
    <t>Total number of released RABs of CS-domain streaming services</t>
  </si>
  <si>
    <t>C310231204</t>
  </si>
  <si>
    <t>Total number of released RABs of CS-domain conversational other services</t>
  </si>
  <si>
    <t>C310231203</t>
  </si>
  <si>
    <t>Total number of released RABs of CS-domain conversational services (64K/64K, Videotelephone)</t>
  </si>
  <si>
    <t>C310231169</t>
  </si>
  <si>
    <t>Number of abnormally released RABs of CS-domain conversational services (AMR4.75K)</t>
  </si>
  <si>
    <t>C310231202</t>
  </si>
  <si>
    <t>Total number of released RABs of CS-domain conversational services (32K/32K)</t>
  </si>
  <si>
    <t>C310231168</t>
  </si>
  <si>
    <t>Number of abnormally released RABs of CS-domain conversational services (AMR5.15K)</t>
  </si>
  <si>
    <t>C310231201</t>
  </si>
  <si>
    <t>Total number of released RABs of CS-domain conversational services (WB-AMR6.60K)</t>
  </si>
  <si>
    <t>C310231167</t>
  </si>
  <si>
    <t>Number of abnormally released RABs of CS-domain conversational services (AMR5.9K)</t>
  </si>
  <si>
    <t>C310231189</t>
  </si>
  <si>
    <t>Total number of released RABs of CS-domain conversational services (AMR6.7K)</t>
  </si>
  <si>
    <t>C310231200</t>
  </si>
  <si>
    <t>Total number of released RABs of CS-domain conversational services (WB-AMR8.85K)</t>
  </si>
  <si>
    <t>C310231166</t>
  </si>
  <si>
    <t>Number of abnormally released RABs of CS-domain conversational services (AMR6.7K)</t>
  </si>
  <si>
    <t>C310231188</t>
  </si>
  <si>
    <t>Total number of released RABs of CS-domain conversational services (AMR7.4K)</t>
  </si>
  <si>
    <t>C310231207</t>
  </si>
  <si>
    <t>Total number of released RABs of CS-domain background services</t>
  </si>
  <si>
    <t>C310231165</t>
  </si>
  <si>
    <t>Number of abnormally released RABs of CS-domain conversational services (AMR7.4K)</t>
  </si>
  <si>
    <t>C310231187</t>
  </si>
  <si>
    <t>Total number of released RABs of CS-domain conversational services (AMR7.95K)</t>
  </si>
  <si>
    <t>C310231164</t>
  </si>
  <si>
    <t>Number of abnormally released RABs of CS-domain conversational services (AMR7.95K)</t>
  </si>
  <si>
    <t>C310231186</t>
  </si>
  <si>
    <t>Total number of released RABs of CS-domain conversational services (AMR10.2K)</t>
  </si>
  <si>
    <t>C310231163</t>
  </si>
  <si>
    <t>Number of abnormally released RABs of CS-domain conversational services (AMR10.2K)</t>
  </si>
  <si>
    <t>C310231185</t>
  </si>
  <si>
    <t>Total number of released RABs of CS-domain conversational services (AMR12.2K)</t>
  </si>
  <si>
    <t>C310231162</t>
  </si>
  <si>
    <t>Number of abnormally released RABs of CS-domain conversational services (AMR12.2K)</t>
  </si>
  <si>
    <t>C310231184</t>
  </si>
  <si>
    <t>Number of abnormally released RABs of CS-domain background services</t>
  </si>
  <si>
    <t>C310231183</t>
  </si>
  <si>
    <t>Number of abnormally released RABs of CS-domain interactive services</t>
  </si>
  <si>
    <t>C310231182</t>
  </si>
  <si>
    <t>Number of abnormally released RABs of CS-domain streaming services</t>
  </si>
  <si>
    <t>C310231181</t>
  </si>
  <si>
    <t>Number of abnormally released RABs of CS-domain conversational other services</t>
  </si>
  <si>
    <t>C310231180</t>
  </si>
  <si>
    <t>Number of abnormally released RABs of CS-domain conversational services (64K/64K, Videotelephone)</t>
  </si>
  <si>
    <t>C310231179</t>
  </si>
  <si>
    <t>Number of abnormally released RABs of CS-domain conversational services (32K/32K)</t>
  </si>
  <si>
    <t>C310231178</t>
  </si>
  <si>
    <t>Number of abnormally released RABs of CS-domain conversational services (WB-AMR6.60K)</t>
  </si>
  <si>
    <t>C310231177</t>
  </si>
  <si>
    <t>Number of abnormally released RABs of CS-domain conversational services (WB-AMR8.85K)</t>
  </si>
  <si>
    <t>C310231199</t>
  </si>
  <si>
    <t>Total number of released RABs of CS-domain conversational services (WB-AMR12.65K)</t>
  </si>
  <si>
    <t>C310231190</t>
  </si>
  <si>
    <t>Total number of released RABs of CS-domain conversational services (AMR5.9K)</t>
  </si>
  <si>
    <t>C310231176</t>
  </si>
  <si>
    <t>Number of abnormally released RABs of CS-domain conversational services (WB-AMR12.65K)</t>
  </si>
  <si>
    <t>C310231198</t>
  </si>
  <si>
    <t>Total number of released RABs of CS-domain conversational services (WB-AMR14.25K)</t>
  </si>
  <si>
    <t>C310231175</t>
  </si>
  <si>
    <t>Number of abnormally released RABs of CS-domain conversational services (WB-AMR14.25K)</t>
  </si>
  <si>
    <t>C310231197</t>
  </si>
  <si>
    <t>Total number of released RABs of CS-domain conversational services (WB-AMR15.85K)</t>
  </si>
  <si>
    <t>C310231174</t>
  </si>
  <si>
    <t>Number of abnormally released RABs of CS-domain conversational services (WB-AMR15.85K)</t>
  </si>
  <si>
    <t>C310231196</t>
  </si>
  <si>
    <t>Total number of released RABs of CS-domain conversational services (WB-AMR18.25K)</t>
  </si>
  <si>
    <t>C310231173</t>
  </si>
  <si>
    <t>Number of abnormally released RABs of CS-domain conversational services (WB-AMR18.25K)</t>
  </si>
  <si>
    <t>C310231195</t>
  </si>
  <si>
    <t>Total number of released RABs of CS-domain conversational services (WB-AMR19.85K)</t>
  </si>
  <si>
    <t>C310231172</t>
  </si>
  <si>
    <t>Number of abnormally released RABs of CS-domain conversational services (WB-AMR19.85K)</t>
  </si>
  <si>
    <t>C310231194</t>
  </si>
  <si>
    <t>Total number of released RABs of CS-domain conversational services (WB-AMR23.05K)</t>
  </si>
  <si>
    <t>C310231171</t>
  </si>
  <si>
    <t>Number of abnormally released RABs of CS-domain conversational services (WB-AMR23.05K)</t>
  </si>
  <si>
    <t>C310231193</t>
  </si>
  <si>
    <t>Total number of released RABs of CS-domain conversational services (WB-AMR23.85K)</t>
  </si>
  <si>
    <t>C310231170</t>
  </si>
  <si>
    <t>Number of abnormally released RABs of CS-domain conversational services (WB-AMR23.85K)</t>
  </si>
  <si>
    <t>C310231192</t>
  </si>
  <si>
    <t>Total number of released RABs of CS-domain conversational services (AMR4.75K)</t>
  </si>
  <si>
    <t>C310231191</t>
  </si>
  <si>
    <t>Total number of released RABs of CS-domain conversational services (AMR5.15K)</t>
  </si>
  <si>
    <t>1709710927166</t>
  </si>
  <si>
    <t>100*(C313461202 + C313461203 +C313461204 + C313461205-C313662030-C313662031)/(C313461206 + C313461207 + C313461208 + C313461209 )</t>
  </si>
  <si>
    <t>C313461209</t>
  </si>
  <si>
    <t>Number of RABs released for PS-domain background services in a logical cell</t>
  </si>
  <si>
    <t>C313461207</t>
  </si>
  <si>
    <t>Number of RABs released for PS-domain streaming services in a logical cell</t>
  </si>
  <si>
    <t>C313461208</t>
  </si>
  <si>
    <t>Number of RABs released for PS-domain interactive services in a logical cell</t>
  </si>
  <si>
    <t>C313461205</t>
  </si>
  <si>
    <t>Number of RABs abnormally released for PS-domain background services in a logical cell</t>
  </si>
  <si>
    <t>C313662030</t>
  </si>
  <si>
    <t>Number of PS RABs abnormally released by the RNC in logic cells during the transition from RRC_FACH to RRC_PCH</t>
  </si>
  <si>
    <t>C313461206</t>
  </si>
  <si>
    <t>Number of RABs released for PS-domain conversational services in a logical cell</t>
  </si>
  <si>
    <t>C313461203</t>
  </si>
  <si>
    <t>Number of RABs abnormally released for PS-domain streaming services in a logical cell</t>
  </si>
  <si>
    <t>C313662031</t>
  </si>
  <si>
    <t>Number of PS RABs abnormally released by the RNC in logic cells due to procedure failures during the transition from CELL_DCH to PCH</t>
  </si>
  <si>
    <t>C313461204</t>
  </si>
  <si>
    <t>Number of RABs abnormally released for PS-domain interactive services in a logical cell</t>
  </si>
  <si>
    <t>C313461202</t>
  </si>
  <si>
    <t>Number of RABs abnormally released for PS-domain conversational services in a logical cell</t>
  </si>
  <si>
    <t>C311776586</t>
  </si>
  <si>
    <t>C311776590</t>
  </si>
  <si>
    <t>C311776587</t>
  </si>
  <si>
    <t>C311776589</t>
  </si>
  <si>
    <t>1675910747391</t>
  </si>
  <si>
    <t>(C310110338+C310110341+C310110395+C310110398)</t>
  </si>
  <si>
    <t>C310110338</t>
  </si>
  <si>
    <t>Number of failed RAB assignment setup for the CS domain due to downlink power resource congestion</t>
  </si>
  <si>
    <t>C310110398</t>
  </si>
  <si>
    <t>Number of failed RAB assignment setup for the PS domain due to uplink power resource congestion</t>
  </si>
  <si>
    <t>C310110341</t>
  </si>
  <si>
    <t>Number of failed RAB assignment setup for the CS domain due to uplink power resource congestion</t>
  </si>
  <si>
    <t>C310110395</t>
  </si>
  <si>
    <t>Number of failed RAB assignment setup for the PS domain due to downlink power resource congestion</t>
  </si>
  <si>
    <t>300189</t>
  </si>
  <si>
    <t>(C310110337+C310110340+C310110394+C310110397)/(C310090252+C310090274+C310090275+C310090276+C310090277+C310090280+C310090293+C310090309)</t>
  </si>
  <si>
    <t>C310110337</t>
  </si>
  <si>
    <t>Number of failed RAB assignment setup for the CS domain due to downlink CE congestion</t>
  </si>
  <si>
    <t>C310110397</t>
  </si>
  <si>
    <t>Number of failed RAB assignment setup for the PS domain due to uplink CE congestion</t>
  </si>
  <si>
    <t>C310090274</t>
  </si>
  <si>
    <t>Number of RAB establishment attempts in the CS domain for streaming services</t>
  </si>
  <si>
    <t>C310110394</t>
  </si>
  <si>
    <t>Number of failed RAB assignment setup for the PS domain due to downlink CE congestion</t>
  </si>
  <si>
    <t>C310090276</t>
  </si>
  <si>
    <t>Number of RAB establishment attempts in the CS domain for background services</t>
  </si>
  <si>
    <t>C310090275</t>
  </si>
  <si>
    <t>Number of RAB establishment attempts in the CS domain for interactive services</t>
  </si>
  <si>
    <t>C310110340</t>
  </si>
  <si>
    <t>Number of failed RAB assignment setup for the CS domain due to uplink CE congestion</t>
  </si>
  <si>
    <t>300187</t>
  </si>
  <si>
    <t>(C310110334+C310110391)/(C310090252+C310090274+C310090275+C310090276+C310090277+C310090280+C310090293+C310090309)</t>
  </si>
  <si>
    <t>C310110334</t>
  </si>
  <si>
    <t>Number of failed RAB assignment setup for the CS domain due to no resource available</t>
  </si>
  <si>
    <t>C310110391</t>
  </si>
  <si>
    <t>Number of failed RAB assignment setup for the PS domain due to no resource available</t>
  </si>
  <si>
    <t>300824</t>
  </si>
  <si>
    <t>C310444439/C310444444</t>
  </si>
  <si>
    <t>C310444439</t>
  </si>
  <si>
    <t>Sum of statistical TCP usages(%)</t>
  </si>
  <si>
    <t>C310444444</t>
  </si>
  <si>
    <t>Number of times that the TCP is reported</t>
  </si>
  <si>
    <t>300852</t>
  </si>
  <si>
    <t>C310474586/C310476533</t>
  </si>
  <si>
    <t>C310476533</t>
  </si>
  <si>
    <t>Number of times that the mark-space ratio of RACH traffic is collected</t>
  </si>
  <si>
    <t>C310474586</t>
  </si>
  <si>
    <t>Sum of statistical mark-space ratios of RACH traffic(%)</t>
  </si>
  <si>
    <t>300851</t>
  </si>
  <si>
    <t>C310474581/C310476531</t>
  </si>
  <si>
    <t>C310476531</t>
  </si>
  <si>
    <t>Number of times that the mark-space ratio of PCH traffic is collected</t>
  </si>
  <si>
    <t>C310474581</t>
  </si>
  <si>
    <t>Sum of statistical mark-space ratios of PCH traffic(%)</t>
  </si>
  <si>
    <t>300864</t>
  </si>
  <si>
    <t>(C310534950+C310534951+C310534952+C310534953+C310534954+C310534955+C310534956+C310534957+C310534958+C310534959+C310534960+C310534961+C310534962+C310534963+C310534964+C310534965+C310534966+C310534967+C310534968+C310534969+C310534970+C310534971+C310534972+C310534973+C310534974+C310534975+C310534927+C310534928+C310534929+C310534930+C310534931+C310534932+C310534933+C310534934+C310534935+C310534936+C310534937+C310534938+C310534939+C310534940+C310534941+C310534942+C310534943+C310534944+C310534945+C310534946+C310534947+C310534948+C310534949)/(C310534976+C310534977+C310534978+C310534979+C310534980+C310534981+C310534982+C310534983+C310534984+C310534985+C310534986+C310534987+C310534988+C310534989+C310534990+C310534991+C310534992+C310534993+C310534994+C310534995+C310534996+C310534997+C310534998+C310534999+C310535000+C310535001+C310535002+C310535003+C310535004+C310535005+C310535006+C310535007+C310535008+C310535009+C310535010+C310535011+C310535012+C310535013+C310535014+C310535015+C310535016+C310535017+C310535018+C310535019+C310535020+C310535021+C310535022+C310535023+C310535024)</t>
  </si>
  <si>
    <t>C310534938</t>
  </si>
  <si>
    <t>Number of error blocks after the received UL transmission blocks are merged for the CS conversation service (WB-AMR18.25)(Blocks)</t>
  </si>
  <si>
    <t>C310534937</t>
  </si>
  <si>
    <t>Number of error blocks after the received UL transmission blocks are merged for the CS conversation service (WB-AMR19.85)(Blocks)</t>
  </si>
  <si>
    <t>C310534936</t>
  </si>
  <si>
    <t>Number of error blocks after the received UL transmission blocks are merged for the CS conversation service (WB-AMR23.05)(Blocks)</t>
  </si>
  <si>
    <t>C310534935</t>
  </si>
  <si>
    <t>Number of error blocks after the received UL transmission blocks are merged for the CS conversation service (WB-AMR23.85)(Blocks)</t>
  </si>
  <si>
    <t>C310534934</t>
  </si>
  <si>
    <t>Number of error blocks after the received UL transmission blocks are merged for the CS conversation service (AMR4.75)(Blocks)</t>
  </si>
  <si>
    <t>C310534933</t>
  </si>
  <si>
    <t>Number of error blocks after the received UL transmission blocks are merged for the CS conversation service (AMR5.15)(Blocks)</t>
  </si>
  <si>
    <t>C310534932</t>
  </si>
  <si>
    <t>Number of error blocks after the received UL transmission blocks are merged for the CS conversation service (AMR5.9)(Blocks)</t>
  </si>
  <si>
    <t>C310534931</t>
  </si>
  <si>
    <t>Number of error blocks after the received UL transmission blocks are merged for the CS conversation service (AMR6.7)(Blocks)</t>
  </si>
  <si>
    <t>C310534939</t>
  </si>
  <si>
    <t>Number of error blocks after the received UL transmission blocks are merged for the CS conversation service (WB-AMR15.85)(Blocks)</t>
  </si>
  <si>
    <t>C310534930</t>
  </si>
  <si>
    <t>Number of error blocks after the received UL transmission blocks are merged for the CS conversation service (AMR7.4)(Blocks)</t>
  </si>
  <si>
    <t>C310534927</t>
  </si>
  <si>
    <t>Number of error blocks after the received UL transmission blocks are merged for the CS conversation service (AMR12.2)(Blocks)</t>
  </si>
  <si>
    <t>C310534929</t>
  </si>
  <si>
    <t>Number of error blocks after the received UL transmission blocks are merged for the CS conversation service (AMR7.95)(Blocks)</t>
  </si>
  <si>
    <t>C310534928</t>
  </si>
  <si>
    <t>Number of error blocks after the received UL transmission blocks are merged for the CS conversation service (AMR10.2)(Blocks)</t>
  </si>
  <si>
    <t>C310534999</t>
  </si>
  <si>
    <t>Total number of merged UL transmission blocks for the PS conversation service (VoIP)(Blocks)</t>
  </si>
  <si>
    <t>C310534998</t>
  </si>
  <si>
    <t>Total number of merged UL transmission blocks for CS background services(Blocks)</t>
  </si>
  <si>
    <t>C310534997</t>
  </si>
  <si>
    <t>Total number of merged UL transmission blocks for CS interactive services(Blocks)</t>
  </si>
  <si>
    <t>C310534996</t>
  </si>
  <si>
    <t>Total number of merged UL transmission blocks for CS streaming services(Blocks)</t>
  </si>
  <si>
    <t>C310534995</t>
  </si>
  <si>
    <t>Total number of merged UL transmission blocks for the CS conversation service (other services)(Blocks)</t>
  </si>
  <si>
    <t>C310534994</t>
  </si>
  <si>
    <t>Total number of merged UL transmission blocks for the CS conversation service (64 K/64 K)(Blocks)</t>
  </si>
  <si>
    <t>C310534993</t>
  </si>
  <si>
    <t>Total number of merged UL transmission blocks for the CS conversation service (32 K/32 K)(Blocks)</t>
  </si>
  <si>
    <t>C310534992</t>
  </si>
  <si>
    <t>Total number of merged UL transmission blocks for the CS conversation service (WB-AMR6.60)(Blocks)</t>
  </si>
  <si>
    <t>C310534991</t>
  </si>
  <si>
    <t>Total number of merged UL transmission blocks for the CS conversation service (WB-AMR8.85)(Blocks)</t>
  </si>
  <si>
    <t>C310534990</t>
  </si>
  <si>
    <t>Total number of merged UL transmission blocks for the CS conversation service (WB-AMR12.65)(Blocks)</t>
  </si>
  <si>
    <t>C310534989</t>
  </si>
  <si>
    <t>Total number of merged UL transmission blocks for the CS conversation service (WB-AMR14.25)(Blocks)</t>
  </si>
  <si>
    <t>C310534988</t>
  </si>
  <si>
    <t>Total number of merged UL transmission blocks for the CS conversation service (WB-AMR15.85)(Blocks)</t>
  </si>
  <si>
    <t>C310534987</t>
  </si>
  <si>
    <t>Total number of merged UL transmission blocks for the CS conversation service (WB-AMR18.25)(Blocks)</t>
  </si>
  <si>
    <t>C310534986</t>
  </si>
  <si>
    <t>Total number of merged UL transmission blocks for the CS conversation service (WB-AMR19.85)(Blocks)</t>
  </si>
  <si>
    <t>C310534985</t>
  </si>
  <si>
    <t>Total number of merged UL transmission blocks for the CS conversation service (WB-AMR23.05)(Blocks)</t>
  </si>
  <si>
    <t>C310534984</t>
  </si>
  <si>
    <t>Total number of merged UL transmission blocks for the CS conversation service (WB-AMR23.85)(Blocks)</t>
  </si>
  <si>
    <t>C310534983</t>
  </si>
  <si>
    <t>Total number of merged UL transmission blocks for the CS conversation service (AMR4.75)(Blocks)</t>
  </si>
  <si>
    <t>C310534982</t>
  </si>
  <si>
    <t>Total number of merged UL transmission blocks for the CS conversation service (AMR5.15)(Blocks)</t>
  </si>
  <si>
    <t>C310534981</t>
  </si>
  <si>
    <t>Total number of merged UL transmission blocks for the CS conversation service (AMR5.9)(Blocks)</t>
  </si>
  <si>
    <t>C310534980</t>
  </si>
  <si>
    <t>Total number of merged UL transmission blocks for the CS conversation service (AMR6.7)(Blocks)</t>
  </si>
  <si>
    <t>C310534979</t>
  </si>
  <si>
    <t>Total number of merged UL transmission blocks for the CS conversation service (AMR7.4)(Blocks)</t>
  </si>
  <si>
    <t>C310534978</t>
  </si>
  <si>
    <t>Total number of merged UL transmission blocks for the CS conversation service (AMR7.95)(Blocks)</t>
  </si>
  <si>
    <t>C310534977</t>
  </si>
  <si>
    <t>Total number of merged UL transmission blocks for the CS conversation service (AMR10.2)(Blocks)</t>
  </si>
  <si>
    <t>C310534976</t>
  </si>
  <si>
    <t>Total number of merged UL transmission blocks for the CS conversation service (AMR12.2)(Blocks)</t>
  </si>
  <si>
    <t>C310534975</t>
  </si>
  <si>
    <t>Number of error blocks after the received UL transmission blocks are merged for the PS background service (other services)(Blocks)</t>
  </si>
  <si>
    <t>C310535021</t>
  </si>
  <si>
    <t>Total number of merged UL transmission blocks for the PS background service (128 K)(Blocks)</t>
  </si>
  <si>
    <t>C310535020</t>
  </si>
  <si>
    <t>Total number of merged UL transmission blocks for the PS background service (64 K)(Blocks)</t>
  </si>
  <si>
    <t>C310534974</t>
  </si>
  <si>
    <t>Number of error blocks after the received UL transmission blocks are merged for the PS background service (384 K)(Blocks)</t>
  </si>
  <si>
    <t>C310534973</t>
  </si>
  <si>
    <t>Number of error blocks after the received UL transmission blocks are merged for the PS background service (256 K)(Blocks)</t>
  </si>
  <si>
    <t>C310534972</t>
  </si>
  <si>
    <t>Number of error blocks after the received UL transmission blocks are merged for the PS background service (128 K)(Blocks)</t>
  </si>
  <si>
    <t>C310534971</t>
  </si>
  <si>
    <t>Number of error blocks after the received UL transmission blocks are merged for the PS background service (64 K)(Blocks)</t>
  </si>
  <si>
    <t>C310534970</t>
  </si>
  <si>
    <t>Number of error blocks after the received UL transmission blocks are merged for the PS background service (32 K)(Blocks)</t>
  </si>
  <si>
    <t>C310535024</t>
  </si>
  <si>
    <t>Total number of merged UL transmission blocks for the PS background service (other services)(Blocks)</t>
  </si>
  <si>
    <t>C310535023</t>
  </si>
  <si>
    <t>Total number of merged UL transmission blocks for the PS background service (384 K)(Blocks)</t>
  </si>
  <si>
    <t>C310535022</t>
  </si>
  <si>
    <t>Total number of merged UL transmission blocks for the PS background service (256 K)(Blocks)</t>
  </si>
  <si>
    <t>C310534969</t>
  </si>
  <si>
    <t>Number of error blocks after the received UL transmission blocks are merged for the PS background service (16 K)(Blocks)</t>
  </si>
  <si>
    <t>C310534968</t>
  </si>
  <si>
    <t>Number of error blocks after the received UL transmission blocks are merged for the PS background service (8 K)(Blocks)</t>
  </si>
  <si>
    <t>C310534967</t>
  </si>
  <si>
    <t>Number of error blocks after the received UL transmission blocks are merged for the PS interactive service (other services)(Blocks)</t>
  </si>
  <si>
    <t>C310534966</t>
  </si>
  <si>
    <t>Number of error blocks after the received UL transmission blocks are merged for the PS interactive service (384 K)(Blocks)</t>
  </si>
  <si>
    <t>C310534965</t>
  </si>
  <si>
    <t>Number of error blocks after the received UL transmission blocks are merged for the PS interactive service (256 K)(Blocks)</t>
  </si>
  <si>
    <t>C310534964</t>
  </si>
  <si>
    <t>Number of error blocks after the received UL transmission blocks are merged for the PS interactive service (128 K)(Blocks)</t>
  </si>
  <si>
    <t>C310535019</t>
  </si>
  <si>
    <t>Total number of merged UL transmission blocks for the PS background service (32 K)(Blocks)</t>
  </si>
  <si>
    <t>C310535010</t>
  </si>
  <si>
    <t>Total number of merged UL transmission blocks for the PS interactive service (16 K)(Blocks)</t>
  </si>
  <si>
    <t>C310534963</t>
  </si>
  <si>
    <t>Number of error blocks after the received UL transmission blocks are merged for the PS interactive service (64 K)(Blocks)</t>
  </si>
  <si>
    <t>C310535018</t>
  </si>
  <si>
    <t>Total number of merged UL transmission blocks for the PS background service (16 K)(Blocks)</t>
  </si>
  <si>
    <t>C310534962</t>
  </si>
  <si>
    <t>Number of error blocks after the received UL transmission blocks are merged for the PS interactive service (32 K)(Blocks)</t>
  </si>
  <si>
    <t>C310535017</t>
  </si>
  <si>
    <t>Total number of merged UL transmission blocks for the PS background service (8 K)(Blocks)</t>
  </si>
  <si>
    <t>C310534961</t>
  </si>
  <si>
    <t>Number of error blocks after the received UL transmission blocks are merged for the PS interactive service (16 K)(Blocks)</t>
  </si>
  <si>
    <t>C310535016</t>
  </si>
  <si>
    <t>Total number of merged UL transmission blocks for the PS interactive service (other services)(Blocks)</t>
  </si>
  <si>
    <t>C310534960</t>
  </si>
  <si>
    <t>Number of error blocks after the received UL transmission blocks are merged for the PS interactive service (8 K)(Blocks)</t>
  </si>
  <si>
    <t>C310535015</t>
  </si>
  <si>
    <t>Total number of merged UL transmission blocks for the PS interactive service (384 K)(Blocks)</t>
  </si>
  <si>
    <t>C310535014</t>
  </si>
  <si>
    <t>Total number of merged UL transmission blocks for the PS interactive service (256 K)(Blocks)</t>
  </si>
  <si>
    <t>C310535013</t>
  </si>
  <si>
    <t>Total number of merged UL transmission blocks for the PS interactive service (128 K)(Blocks)</t>
  </si>
  <si>
    <t>C310535012</t>
  </si>
  <si>
    <t>Total number of merged UL transmission blocks for the PS interactive service (64 K)(Blocks)</t>
  </si>
  <si>
    <t>C310535011</t>
  </si>
  <si>
    <t>Total number of merged UL transmission blocks for the PS interactive service (32 K)(Blocks)</t>
  </si>
  <si>
    <t>C310534959</t>
  </si>
  <si>
    <t>Number of error blocks after the received UL transmission blocks are merged for the PS streaming service (other services)(Blocks)</t>
  </si>
  <si>
    <t>C310534958</t>
  </si>
  <si>
    <t>Number of error blocks after the received UL transmission blocks are merged for the PS streaming service (384 K)(Blocks)</t>
  </si>
  <si>
    <t>C310534957</t>
  </si>
  <si>
    <t>Number of error blocks after the received UL transmission blocks are merged for the PS streaming service (256 K)(Blocks)</t>
  </si>
  <si>
    <t>C310534956</t>
  </si>
  <si>
    <t>Number of error blocks after the received UL transmission blocks are merged for the PS streaming service (128 K)(Blocks)</t>
  </si>
  <si>
    <t>C310534955</t>
  </si>
  <si>
    <t>Number of error blocks after the received UL transmission blocks are merged for the PS streaming service (64 K)(Blocks)</t>
  </si>
  <si>
    <t>C310534954</t>
  </si>
  <si>
    <t>Number of error blocks after the received UL transmission blocks are merged for the PS streaming service (32 K)(Blocks)</t>
  </si>
  <si>
    <t>C310535009</t>
  </si>
  <si>
    <t>Total number of merged UL transmission blocks for the PS interactive service (8 K)(Blocks)</t>
  </si>
  <si>
    <t>C310534953</t>
  </si>
  <si>
    <t>Number of error blocks after the received UL transmission blocks are merged for the PS streaming service (16 K)(Blocks)</t>
  </si>
  <si>
    <t>C310535008</t>
  </si>
  <si>
    <t>Total number of merged UL transmission blocks for the PS streaming service (other services)(Blocks)</t>
  </si>
  <si>
    <t>C310534952</t>
  </si>
  <si>
    <t>Number of error blocks after the received UL transmission blocks are merged for the PS streaming service (8 K)(Blocks)</t>
  </si>
  <si>
    <t>C310535007</t>
  </si>
  <si>
    <t>Total number of merged UL transmission blocks for the PS streaming service (384 K)(Blocks)</t>
  </si>
  <si>
    <t>C310534951</t>
  </si>
  <si>
    <t>Number of error blocks after the received UL transmission blocks are merged for the PS conversation service (other services)(Blocks)</t>
  </si>
  <si>
    <t>C310535006</t>
  </si>
  <si>
    <t>Total number of merged UL transmission blocks for the PS streaming service (256 K)(Blocks)</t>
  </si>
  <si>
    <t>C310534950</t>
  </si>
  <si>
    <t>Number of error blocks after the received UL transmission blocks are merged for the PS conversation service (VoIP)(Blocks)</t>
  </si>
  <si>
    <t>C310535005</t>
  </si>
  <si>
    <t>Total number of merged UL transmission blocks for the PS streaming service (128 K)(Blocks)</t>
  </si>
  <si>
    <t>C310535004</t>
  </si>
  <si>
    <t>Total number of merged UL transmission blocks for the PS streaming service (64 K)(Blocks)</t>
  </si>
  <si>
    <t>C310535003</t>
  </si>
  <si>
    <t>Total number of merged UL transmission blocks for the PS streaming service (32 K)(Blocks)</t>
  </si>
  <si>
    <t>C310535002</t>
  </si>
  <si>
    <t>Total number of merged UL transmission blocks for the PS streaming service (16 K)(Blocks)</t>
  </si>
  <si>
    <t>C310535001</t>
  </si>
  <si>
    <t>Total number of merged UL transmission blocks for the PS streaming service (8 K)(Blocks)</t>
  </si>
  <si>
    <t>C310535000</t>
  </si>
  <si>
    <t>Total number of merged UL transmission blocks for the PS conversation service (other services)(Blocks)</t>
  </si>
  <si>
    <t>C310534949</t>
  </si>
  <si>
    <t>Number of error blocks after the received UL transmission blocks are merged for CS background services(Blocks)</t>
  </si>
  <si>
    <t>C310534948</t>
  </si>
  <si>
    <t>Number of error blocks after the received UL transmission blocks are merged for CS interactive services(Blocks)</t>
  </si>
  <si>
    <t>C310534947</t>
  </si>
  <si>
    <t>Number of error blocks after the received UL transmission blocks are merged for CS streaming services(Blocks)</t>
  </si>
  <si>
    <t>C310534946</t>
  </si>
  <si>
    <t>Number of error blocks after the received UL transmission blocks are merged for the CS conversation service (other services)(Blocks)</t>
  </si>
  <si>
    <t>C310534945</t>
  </si>
  <si>
    <t>Number of error blocks after the received UL transmission blocks are merged for the CS conversation service (64 K/64 K (Videotelephone))(Blocks)</t>
  </si>
  <si>
    <t>C310534944</t>
  </si>
  <si>
    <t>Number of error blocks after the received UL transmission blocks are merged for the CS conversation service (32 K/32 K)(Blocks)</t>
  </si>
  <si>
    <t>C310534943</t>
  </si>
  <si>
    <t>Number of error blocks after the received UL transmission blocks are merged for the CS conversation service (WB-AMR6.60)(Blocks)</t>
  </si>
  <si>
    <t>C310534942</t>
  </si>
  <si>
    <t>Number of error blocks after the received UL transmission blocks are merged for the CS conversation service (WB-AMR8.85)(Blocks)</t>
  </si>
  <si>
    <t>C310534941</t>
  </si>
  <si>
    <t>Number of error blocks after the received UL transmission blocks are merged for the CS conversation service (WB-AMR12.65)(Blocks)</t>
  </si>
  <si>
    <t>C310534940</t>
  </si>
  <si>
    <t>Number of error blocks after the received UL transmission blocks are merged for the CS conversation service (WB-AMR14.25)(Blocks)</t>
  </si>
  <si>
    <t>1629875102025</t>
  </si>
  <si>
    <t>0-((C312262433*21+C312262434*18+C312262435*15+C312262436*12+C312262437*9+C312262438*6+C312262439*3+C312262440*0)/(C312262433+C312262434+C312262435+C312262436+C312262437+C312262438+C312262439+C312262440))</t>
  </si>
  <si>
    <t>C312262438</t>
  </si>
  <si>
    <t>Number of times that Ec/N0 of the current cell carried in the RRC connection request message is in [-9,-6) dB.</t>
  </si>
  <si>
    <t>C312262439</t>
  </si>
  <si>
    <t>Number of times that Ec/N0 of the current cell carried in the RRC connection request message is in [-6,-3) dB.</t>
  </si>
  <si>
    <t>C312262436</t>
  </si>
  <si>
    <t>Number of times that Ec/N0 of the current cell carried in the RRC connection request message is in [-15,-12) dB.</t>
  </si>
  <si>
    <t>C312262437</t>
  </si>
  <si>
    <t>Number of times that Ec/N0 of the current cell carried in the RRC connection request message is in [-12,-9) dB.</t>
  </si>
  <si>
    <t>C312262434</t>
  </si>
  <si>
    <t>Number of times that Ec/N0 of the current cell carried in the RRC connection request message is in [-21,-18) dB.</t>
  </si>
  <si>
    <t>C312262435</t>
  </si>
  <si>
    <t>Number of times that Ec/N0 of the current cell carried in the RRC connection request message is in [-18,-15) dB.</t>
  </si>
  <si>
    <t>C312262433</t>
  </si>
  <si>
    <t>Number of times that Ec/N0 of the current cell carried in the RRC connection request message is in [-24,-21) dB.</t>
  </si>
  <si>
    <t>C312262440</t>
  </si>
  <si>
    <t>Number of times that Ec/N0 of the current cell carried in the RRC connection request message is in [-3,0) dB.</t>
  </si>
  <si>
    <t>1629875102014</t>
  </si>
  <si>
    <t>(C310444466/C310444467)-112</t>
  </si>
  <si>
    <t>C310444467</t>
  </si>
  <si>
    <t>Number of times that the RTWP is reported</t>
  </si>
  <si>
    <t>C310444466</t>
  </si>
  <si>
    <t>Sum of statistical RTWPs(dBm)</t>
  </si>
  <si>
    <t>1709710925341</t>
  </si>
  <si>
    <t>100*((C310322216+C310322217+C310322218+C310322232+C310322233+C310322234)-(C310322222+C310322223+C310322224+C310322225+C310322226+C310322227+C310322230+C310322231+C310322235+C310322236+C310322237+C310322238+C310322239+C310322240+C310322243+C310322244))/(C310322216+C310322217+C310322218+C310322232+C310322233+C310322234)</t>
  </si>
  <si>
    <t>C310322217</t>
  </si>
  <si>
    <t>Number of attempts of active-set update for cell addition in the case of soft handover</t>
  </si>
  <si>
    <t>C310322239</t>
  </si>
  <si>
    <t>Number of failed active-set updates for cell deletion due to protocol errors</t>
  </si>
  <si>
    <t>C310322218</t>
  </si>
  <si>
    <t>Number of attempts of active-set update for cell addition in the case of soft handover over the Iur interface</t>
  </si>
  <si>
    <t>C310322226</t>
  </si>
  <si>
    <t>Number of failed active-set updates for cell addition due to protocol errors</t>
  </si>
  <si>
    <t>C310322237</t>
  </si>
  <si>
    <t>Number of failed active-set updates for cell deletion due to incompatible simultaneous reconfiguration</t>
  </si>
  <si>
    <t>C310322216</t>
  </si>
  <si>
    <t>Number of attempts of active-set update for cell addition in the case of softer handover</t>
  </si>
  <si>
    <t>C310322227</t>
  </si>
  <si>
    <t>Number of failed active-set updates for cell addition due to cell update</t>
  </si>
  <si>
    <t>C310322238</t>
  </si>
  <si>
    <t>Number of failed active-set updates for cell deletion due to compression mode errors</t>
  </si>
  <si>
    <t>C310322224</t>
  </si>
  <si>
    <t>Number of failed active-set updates for cell addition due to incompatible simultaneous reconfiguration</t>
  </si>
  <si>
    <t>C310322235</t>
  </si>
  <si>
    <t>Number of failed active-set updates for cell deletion due to unsupported configuration</t>
  </si>
  <si>
    <t>C310322225</t>
  </si>
  <si>
    <t>Number of failed active-set updates for cell addition due to compression mode errors</t>
  </si>
  <si>
    <t>C310322236</t>
  </si>
  <si>
    <t>Number of failed active-set updates for cell deletion due to physical channel failures</t>
  </si>
  <si>
    <t>C310322233</t>
  </si>
  <si>
    <t>Number of attempts of active-set update for cell deletion in the case of soft handover</t>
  </si>
  <si>
    <t>C310322222</t>
  </si>
  <si>
    <t>Number of failed active-set updates for cell addition due to unsupported configuration</t>
  </si>
  <si>
    <t>C310322244</t>
  </si>
  <si>
    <t>Number of failed active-set updates for cell deletion due to other causes</t>
  </si>
  <si>
    <t>C310322234</t>
  </si>
  <si>
    <t>Number of attempts of active-set update for cell deletion in the case of soft handover over the Iur interface</t>
  </si>
  <si>
    <t>C310322223</t>
  </si>
  <si>
    <t>Number of failed active-set updates for cell addition due to physical channel failures</t>
  </si>
  <si>
    <t>C310322231</t>
  </si>
  <si>
    <t>Number of failed active-set updates for cell addition due to other causes</t>
  </si>
  <si>
    <t>C310322232</t>
  </si>
  <si>
    <t>Number of attempts of active-set update for cell deletion in the case of softer handover</t>
  </si>
  <si>
    <t>C310322243</t>
  </si>
  <si>
    <t>Number of failed active-set updates for cell deletion due to no reply</t>
  </si>
  <si>
    <t>C310322240</t>
  </si>
  <si>
    <t>Number of failed active-set updates for cell deletion due to cell update</t>
  </si>
  <si>
    <t>C310322230</t>
  </si>
  <si>
    <t>Number of failed active-set updates for cell addition due to no reply</t>
  </si>
  <si>
    <t>1709710925342</t>
  </si>
  <si>
    <t>100*(C310332667-C310332671)/C310332667</t>
  </si>
  <si>
    <t>C310332671</t>
  </si>
  <si>
    <t>Number of failed inter-frequency outgoing hard handovers for CS services</t>
  </si>
  <si>
    <t>C310332667</t>
  </si>
  <si>
    <t>Number of attempts of inter-frequency outgoing hard handover for CS services</t>
  </si>
  <si>
    <t>1709710926924</t>
  </si>
  <si>
    <t>100*(C310352945-C310352946-C310352947-C310352948-C310352949-C310352950-C310352951)/C310352945</t>
  </si>
  <si>
    <t>C310352945</t>
  </si>
  <si>
    <t>Number of attempts of outgoing inter-RAT handover for CS services</t>
  </si>
  <si>
    <t>C310352947</t>
  </si>
  <si>
    <t>Number of failed outgoing inter-RAT handovers for CS services due to physical channel failures</t>
  </si>
  <si>
    <t>C310352946</t>
  </si>
  <si>
    <t>Number of failed outgoing inter-RAT handovers for CS services due to unacceptable configuration</t>
  </si>
  <si>
    <t>C310352949</t>
  </si>
  <si>
    <t>Number of failed outgoing inter-RAT handovers for CS services due to inter-RAT protocol errors</t>
  </si>
  <si>
    <t>C310352948</t>
  </si>
  <si>
    <t>Number of failed outgoing inter-RAT handovers for CS services due to protocol errors</t>
  </si>
  <si>
    <t>C310352950</t>
  </si>
  <si>
    <t>Number of failed outgoing inter-RAT handovers for CS services due to unspecified causes</t>
  </si>
  <si>
    <t>C310352951</t>
  </si>
  <si>
    <t>Number of failed outgoing inter-RAT handovers for CS services due to no reply</t>
  </si>
  <si>
    <t>1629875102020</t>
  </si>
  <si>
    <t>(C310322245+C310322253+C310322265+C310322281+C310322487-(C310322249+C310322257+C310322273+C310322289+C310322491))/(C310322245+C310322253+C310322265+C310322281+C310322487)</t>
  </si>
  <si>
    <t>C310322245</t>
  </si>
  <si>
    <t>Number of attempts of active-set update for cell addition in the case of conversion services</t>
  </si>
  <si>
    <t>C310322487</t>
  </si>
  <si>
    <t>Number of active-set update requests in the case of Class C services</t>
  </si>
  <si>
    <t>C310322289</t>
  </si>
  <si>
    <t>Number of failed active-set updates for cell deletion in the case of other DCH Class C services</t>
  </si>
  <si>
    <t>C310322253</t>
  </si>
  <si>
    <t>Number of attempts of active-set update for cell deletion in the case of conversion services</t>
  </si>
  <si>
    <t>C310322265</t>
  </si>
  <si>
    <t>Number of attempts of active-set update for cell addition in the case of other DCH conversion services</t>
  </si>
  <si>
    <t>C310322273</t>
  </si>
  <si>
    <t>Number of failed active-set updates for cell addition in the case of other DCH conversion services</t>
  </si>
  <si>
    <t>C310322491</t>
  </si>
  <si>
    <t>Number of failed active-set updates in the case of Class C services</t>
  </si>
  <si>
    <t>C310322281</t>
  </si>
  <si>
    <t>Number of attempts of active-set update for cell deletion in the case of other DCH conversion services</t>
  </si>
  <si>
    <t>C310322249</t>
  </si>
  <si>
    <t>Number of failed active-set updates for cell addition in the case of conversion services</t>
  </si>
  <si>
    <t>C310322257</t>
  </si>
  <si>
    <t>Number of failed active-set updates for cell deletion in the case of conversion services</t>
  </si>
  <si>
    <t>1617339553625</t>
  </si>
  <si>
    <t xml:space="preserve">(C310535973+C310535977+C310535973+C310535977)/(C310535974+C310535978+C310535973+C310535977+C310535973+C310535977)
</t>
  </si>
  <si>
    <t>C310535978</t>
  </si>
  <si>
    <t>Number of received DCH/E-DCH data FP frames of interactive and background services</t>
  </si>
  <si>
    <t>C310535977</t>
  </si>
  <si>
    <t>Number of discarded DCH/E-DCH data FP frames of interactive and background services due to Iub transmission bearer error</t>
  </si>
  <si>
    <t>C310535974</t>
  </si>
  <si>
    <t>Number of received DCH/E-DCH data FP frames of conversational and streaming services</t>
  </si>
  <si>
    <t>C310535973</t>
  </si>
  <si>
    <t>Number of discarded DCH/E-DCH data FP frames of conversation and streaming services due to Iub transmission bearer error</t>
  </si>
  <si>
    <t>1709710925640</t>
  </si>
  <si>
    <t>(C310110337+C310110340+C310110394+C310110397)</t>
  </si>
  <si>
    <t>1709710925506</t>
  </si>
  <si>
    <t>C310110359+C310110416</t>
  </si>
  <si>
    <t>C310110359</t>
  </si>
  <si>
    <t>Number of failed RAB assignment setup for the CS domain due to Iub congestion</t>
  </si>
  <si>
    <t>C310110416</t>
  </si>
  <si>
    <t>Number of failed RAB assignment setup for the PS domain due to Iub congestion</t>
  </si>
  <si>
    <t>1709710925511</t>
  </si>
  <si>
    <t>(C310110338+C310110341+C310110395+C310110398) / (C310090252+C310090274+C310090275+C310090276+C310090277+C310090280+C310090293+C310090309)</t>
  </si>
  <si>
    <t>C310080234</t>
  </si>
  <si>
    <t>300230</t>
  </si>
  <si>
    <t>(C310555152-C310555155-C310555156)/(C310555152-C310555155)</t>
  </si>
  <si>
    <t>C310555155</t>
  </si>
  <si>
    <t>Number of invalid cell paging requests of type 1</t>
  </si>
  <si>
    <t>C310555152</t>
  </si>
  <si>
    <t>Total number of cell paging requests of type 1</t>
  </si>
  <si>
    <t>C310555156</t>
  </si>
  <si>
    <t>Number of cell paging requests of type 1 that fail to be sent</t>
  </si>
  <si>
    <t>300848</t>
  </si>
  <si>
    <t>(C310053370+C310053371)/((C310053370*C310476527)/C310474569+(C310053371*C310476529)/C310474575)</t>
  </si>
  <si>
    <t>C310476529</t>
  </si>
  <si>
    <t>Number of times that the mark-space ratio of data FACH traffic is collected</t>
  </si>
  <si>
    <t>C310053371</t>
  </si>
  <si>
    <t>DL payload traffic on data FACHs(kBytes)</t>
  </si>
  <si>
    <t>C310053370</t>
  </si>
  <si>
    <t>DL payload traffic on signaling FACHs(kBytes)</t>
  </si>
  <si>
    <t>C310474575</t>
  </si>
  <si>
    <t>Sum of statistical mark-space ratios of data FACH traffic(%)</t>
  </si>
  <si>
    <t>C310474569</t>
  </si>
  <si>
    <t>Sum of statistical mark-space ratios of signaling FACH traffic(%)</t>
  </si>
  <si>
    <t>C310476527</t>
  </si>
  <si>
    <t>Number of times that the mark-space ratio of signaling FACH traffic is collected</t>
  </si>
  <si>
    <t>1709710927243</t>
  </si>
  <si>
    <t>86400*9138-(C310464560)</t>
  </si>
  <si>
    <t>1709710924649</t>
  </si>
  <si>
    <t>C310030462+C310030460</t>
  </si>
  <si>
    <t>C310030460</t>
  </si>
  <si>
    <t>Average number of UEs with DCH/HS-DSCH RBs in the best cell</t>
  </si>
  <si>
    <t>C310030462</t>
  </si>
  <si>
    <t>Average number of UEs with E-DCH/HS-DSCH RBs in the best cell</t>
  </si>
  <si>
    <t>300690</t>
  </si>
  <si>
    <t>(C310010292+C310010293+C310010294+C310010295)/Gr</t>
  </si>
  <si>
    <t>C310010292</t>
  </si>
  <si>
    <t>UL RAB Iub FP traffic of Class C services on HSUPA channels(kBytes)</t>
  </si>
  <si>
    <t>C310010294</t>
  </si>
  <si>
    <t>UL RAB Iub FP traffic of Class I services on HSUPA channels(kBytes)</t>
  </si>
  <si>
    <t>C310010293</t>
  </si>
  <si>
    <t>UL RAB Iub FP traffic of Class S services on HSUPA channels(kBytes)</t>
  </si>
  <si>
    <t>C310010295</t>
  </si>
  <si>
    <t>UL RAB Iub FP traffic of Class B services on HSUPA channels(kBytes)</t>
  </si>
  <si>
    <t>300691</t>
  </si>
  <si>
    <t>(C310010296+C310010297+C310010298+C310010299)/Gr</t>
  </si>
  <si>
    <t>C310010298</t>
  </si>
  <si>
    <t>DL RAB Iub FP traffic of Class I services on HSDPA channels(kBytes)</t>
  </si>
  <si>
    <t>C310010297</t>
  </si>
  <si>
    <t>DL RAB Iub FP traffic of Class S services on HSDPA channels(kBytes)</t>
  </si>
  <si>
    <t>C310010299</t>
  </si>
  <si>
    <t>DL RAB Iub FP traffic of Class B services on HSDPA channels(kBytes)</t>
  </si>
  <si>
    <t>C310010296</t>
  </si>
  <si>
    <t>DL RAB Iub FP traffic of Class C services on HSDPA channels(kBytes)</t>
  </si>
  <si>
    <t>ORA_3G_Cell Availability (%)</t>
  </si>
  <si>
    <t>Column Labels</t>
  </si>
  <si>
    <t>Row Labels</t>
  </si>
  <si>
    <t>Average of ORA_3G_Cell Availability (%)</t>
  </si>
  <si>
    <t>Average of OCM_3G_CSSR_CS_CellPCH_URAPCH_New(%)</t>
  </si>
  <si>
    <t>Average of OCM_3G_CSSR_PS_CellPCH_URAPCH_New(%)</t>
  </si>
  <si>
    <t>Average of OCM_3G_Call_Drop_CS_New(%)</t>
  </si>
  <si>
    <t>Average of ORA_3G_Call_Drop_PS_All_Data_Services_New(%)</t>
  </si>
  <si>
    <t>Sum of ORA_3G_CS Voice Traffic (Erl)</t>
  </si>
  <si>
    <t>Sum of ORA_3G_Traffic Total Data_MAC (GB)</t>
  </si>
  <si>
    <t>372</t>
  </si>
  <si>
    <t>RNC_ZTE_Madagascar(372)</t>
  </si>
  <si>
    <t>2025-12-18 10:00:00</t>
  </si>
  <si>
    <t>2025-12-18 11:00:00</t>
  </si>
  <si>
    <t>11287</t>
  </si>
  <si>
    <t>LIT_287_Z_New-Deido</t>
  </si>
  <si>
    <t>11405</t>
  </si>
  <si>
    <t>LIT_405_Z_Bepanda-Omnisport</t>
  </si>
  <si>
    <t>11651</t>
  </si>
  <si>
    <t>LIT_651_Z_DEIDO-MARCHE</t>
  </si>
  <si>
    <t>61102</t>
  </si>
  <si>
    <t>LIT_102_Z_Omnisport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</si>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</sst>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%"/>
    <numFmt numFmtId="165" formatCode="#,##0.##"/>
    <numFmt numFmtId="166" formatCode="#,##0.####"/>
    <numFmt numFmtId="167" formatCode="#,##0.##%"/>
    <numFmt numFmtId="168" formatCode="0.0"/>
  </numFmts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8FD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2" fontId="2" fillId="0" borderId="2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3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amo Guipdop Chabain Migouel" refreshedDate="46010.439419328701" createdVersion="7" refreshedVersion="7" minRefreshableVersion="3" recordCount="275" xr:uid="{BD4EE5B5-C3B4-4990-BF50-67DD5448A936}">
  <cacheSource type="worksheet">
    <worksheetSource ref="A1:AV276" sheet="Sheet0"/>
  </cacheSource>
  <cacheFields count="48">
    <cacheField name="Begin Time" numFmtId="0">
      <sharedItems containsBlank="1" count="80">
        <s v="2025-12-18 10:00:00"/>
        <s v="2025-12-18 11:00:00"/>
        <s v="2025-12-18 12:00:00"/>
        <s v="2025-12-18 13:00:00"/>
        <s v="2025-12-18 14:00:00"/>
        <s v="2025-12-18 15:00:00"/>
        <s v="2025-12-18 16:00:00"/>
        <s v="2025-12-18 17:00:00"/>
        <s v="2025-12-18 18:00:00"/>
        <s v="2025-12-18 19:00:00"/>
        <s v="2025-12-18 20:00:00"/>
        <s v="2025-12-18 21:00:00"/>
        <s v="2025-12-18 22:00:00"/>
        <s v="2025-12-18 23:00:00"/>
        <s v="2025-12-19 00:00:00"/>
        <s v="2025-12-19 01:00:00"/>
        <s v="2025-12-19 02:00:00"/>
        <s v="2025-12-19 03:00:00"/>
        <s v="2025-12-19 04:00:00"/>
        <s v="2025-12-19 05:00:00"/>
        <s v="2025-12-19 06:00:00"/>
        <s v="2025-12-19 07:00:00"/>
        <s v="2025-12-19 08:00:00"/>
        <s v="2025-12-19 09:00:00"/>
        <m/>
        <s v="2025-12-15 14:00:00" u="1"/>
        <s v="2025-12-16 14:00:00" u="1"/>
        <s v="2025-12-17 14:00:00" u="1"/>
        <s v="2025-12-15 13:00:00" u="1"/>
        <s v="2025-12-16 13:00:00" u="1"/>
        <s v="2025-12-17 13:00:00" u="1"/>
        <s v="2025-12-15 12:00:00" u="1"/>
        <s v="2025-12-16 12:00:00" u="1"/>
        <s v="2025-12-17 12:00:00" u="1"/>
        <s v="2025-12-15 11:00:00" u="1"/>
        <s v="2025-12-16 11:00:00" u="1"/>
        <s v="2025-12-17 11:00:00" u="1"/>
        <s v="2025-12-15 09:00:00" u="1"/>
        <s v="2025-12-16 09:00:00" u="1"/>
        <s v="2025-12-17 09:00:00" u="1"/>
        <s v="2025-12-15 10:00:00" u="1"/>
        <s v="2025-12-16 10:00:00" u="1"/>
        <s v="2025-12-17 10:00:00" u="1"/>
        <s v="2025-12-15 08:00:00" u="1"/>
        <s v="2025-12-16 08:00:00" u="1"/>
        <s v="2025-12-17 08:00:00" u="1"/>
        <s v="2025-12-16 07:00:00" u="1"/>
        <s v="2025-12-17 07:00:00" u="1"/>
        <s v="2025-12-16 06:00:00" u="1"/>
        <s v="2025-12-17 06:00:00" u="1"/>
        <s v="2025-12-16 05:00:00" u="1"/>
        <s v="2025-12-17 05:00:00" u="1"/>
        <s v="2025-12-16 04:00:00" u="1"/>
        <s v="2025-12-17 04:00:00" u="1"/>
        <s v="2025-12-16 03:00:00" u="1"/>
        <s v="2025-12-17 03:00:00" u="1"/>
        <s v="2025-12-16 02:00:00" u="1"/>
        <s v="2025-12-17 02:00:00" u="1"/>
        <s v="2025-12-16 01:00:00" u="1"/>
        <s v="2025-12-17 01:00:00" u="1"/>
        <s v="2025-12-16 00:00:00" u="1"/>
        <s v="2025-12-17 00:00:00" u="1"/>
        <s v="2025-12-15 23:00:00" u="1"/>
        <s v="2025-12-16 23:00:00" u="1"/>
        <s v="2025-12-15 22:00:00" u="1"/>
        <s v="2025-12-16 22:00:00" u="1"/>
        <s v="2025-12-15 21:00:00" u="1"/>
        <s v="2025-12-16 21:00:00" u="1"/>
        <s v="2025-12-15 19:00:00" u="1"/>
        <s v="2025-12-16 19:00:00" u="1"/>
        <s v="2025-12-15 20:00:00" u="1"/>
        <s v="2025-12-16 20:00:00" u="1"/>
        <s v="2025-12-15 18:00:00" u="1"/>
        <s v="2025-12-16 18:00:00" u="1"/>
        <s v="2025-12-15 17:00:00" u="1"/>
        <s v="2025-12-16 17:00:00" u="1"/>
        <s v="2025-12-15 16:00:00" u="1"/>
        <s v="2025-12-16 16:00:00" u="1"/>
        <s v="2025-12-15 15:00:00" u="1"/>
        <s v="2025-12-16 15:00:00" u="1"/>
      </sharedItems>
    </cacheField>
    <cacheField name="End Time" numFmtId="0">
      <sharedItems containsBlank="1"/>
    </cacheField>
    <cacheField name="Granularity" numFmtId="0">
      <sharedItems containsBlank="1"/>
    </cacheField>
    <cacheField name="SubnetWork ID" numFmtId="0">
      <sharedItems containsBlank="1"/>
    </cacheField>
    <cacheField name="SubnetWork Name" numFmtId="0">
      <sharedItems containsBlank="1"/>
    </cacheField>
    <cacheField name="ManagedElement ID" numFmtId="0">
      <sharedItems containsBlank="1"/>
    </cacheField>
    <cacheField name="RNC Managed NE" numFmtId="0">
      <sharedItems containsBlank="1"/>
    </cacheField>
    <cacheField name="NodeB ID" numFmtId="0">
      <sharedItems containsBlank="1"/>
    </cacheField>
    <cacheField name="NodeB Name" numFmtId="0">
      <sharedItems containsBlank="1" count="10">
        <s v="LIT_287_Z_New-Deido"/>
        <s v="LIT_405_Z_Bepanda-Omnisport"/>
        <s v="LIT_651_Z_DEIDO-MARCHE"/>
        <s v="LIT_102_Z_Omnisport"/>
        <m/>
        <s v="LIT_025_Z_Tsekenis" u="1"/>
        <s v="LIT_139_Z_Camship" u="1"/>
        <s v="LIT_087_Z_Wouri" u="1"/>
        <s v="LIT_413_Z_Bali-Koumassi" u="1"/>
        <s v="LIT_041_Z_La-Falaise" u="1"/>
      </sharedItems>
    </cacheField>
    <cacheField name="ORA_3G_Cell Availability, excluding BLU (%)" numFmtId="0">
      <sharedItems containsString="0" containsBlank="1" containsNumber="1" minValue="0.71499999999999997" maxValue="1"/>
    </cacheField>
    <cacheField name="ORA_3G_CS Voice Traffic (Erl)" numFmtId="0">
      <sharedItems containsString="0" containsBlank="1" containsNumber="1" minValue="0.04" maxValue="55.53"/>
    </cacheField>
    <cacheField name="ORA_3G_Traffic Total Data_MAC (GB)" numFmtId="166">
      <sharedItems containsString="0" containsBlank="1" containsNumber="1" minValue="0.38969999999999999" maxValue="8.6456999999999997"/>
    </cacheField>
    <cacheField name="OCM_3G_CSSR_CS_CellPCH_URAPCH_New(%)" numFmtId="0">
      <sharedItems containsString="0" containsBlank="1" containsNumber="1" minValue="99.41" maxValue="100"/>
    </cacheField>
    <cacheField name="OCM_3G_CSSR_PS_CellPCH_URAPCH_New(%)" numFmtId="0">
      <sharedItems containsString="0" containsBlank="1" containsNumber="1" minValue="99.28" maxValue="99.99"/>
    </cacheField>
    <cacheField name="OCM_3G_CSSR_HSDPA_New(%)" numFmtId="0">
      <sharedItems containsString="0" containsBlank="1" containsNumber="1" minValue="99.3" maxValue="99.99"/>
    </cacheField>
    <cacheField name="OCM_3G_CSSR_HSUPA_New(%)" numFmtId="0">
      <sharedItems containsString="0" containsBlank="1" containsNumber="1" minValue="99.31" maxValue="99.99"/>
    </cacheField>
    <cacheField name="OCM_3G_Call_Drop_CS_New(%)" numFmtId="0">
      <sharedItems containsString="0" containsBlank="1" containsNumber="1" minValue="0" maxValue="0.76"/>
    </cacheField>
    <cacheField name="ORA_3G_Call_Drop_PS_All_Data_Services_New(%)" numFmtId="0">
      <sharedItems containsString="0" containsBlank="1" containsNumber="1" minValue="0.01" maxValue="0.51"/>
    </cacheField>
    <cacheField name="Duration of TCP congestion(s)" numFmtId="3">
      <sharedItems containsString="0" containsBlank="1" containsNumber="1" containsInteger="1" minValue="0" maxValue="0"/>
    </cacheField>
    <cacheField name="Duration of code congestion(s)" numFmtId="3">
      <sharedItems containsString="0" containsBlank="1" containsNumber="1" containsInteger="1" minValue="0" maxValue="0"/>
    </cacheField>
    <cacheField name="Duration of RTWP congestion(s)" numFmtId="3">
      <sharedItems containsString="0" containsBlank="1" containsNumber="1" containsInteger="1" minValue="0" maxValue="0"/>
    </cacheField>
    <cacheField name="Duration of DL CE congestion(s)" numFmtId="3">
      <sharedItems containsString="0" containsBlank="1" containsNumber="1" containsInteger="1" minValue="0" maxValue="0"/>
    </cacheField>
    <cacheField name="3G_RADIO_CONGESTION_NOM_CORP" numFmtId="3">
      <sharedItems containsString="0" containsBlank="1" containsNumber="1" containsInteger="1" minValue="0" maxValue="0"/>
    </cacheField>
    <cacheField name="Blocking Rate of RAB Setup(Due to CE)(%)" numFmtId="164">
      <sharedItems containsString="0" containsBlank="1" containsNumber="1" containsInteger="1" minValue="0" maxValue="0"/>
    </cacheField>
    <cacheField name="Blocking Rate of RAB Setup(Due to Cell Congestion)(%)" numFmtId="0">
      <sharedItems containsString="0" containsBlank="1" containsNumber="1" minValue="0" maxValue="1.6000000000000001E-3"/>
    </cacheField>
    <cacheField name="Average Cell TCP Utilization Ratio(%)" numFmtId="0">
      <sharedItems containsString="0" containsBlank="1" containsNumber="1" minValue="7.8600000000000003E-2" maxValue="0.71379999999999999"/>
    </cacheField>
    <cacheField name="Cell Average RACH Utilization(%)" numFmtId="0">
      <sharedItems containsString="0" containsBlank="1" containsNumber="1" minValue="3.1899999999999998E-2" maxValue="0.43380000000000002"/>
    </cacheField>
    <cacheField name="Cell Average PCH Utilization(%)" numFmtId="0">
      <sharedItems containsString="0" containsBlank="1" containsNumber="1" minValue="5.1900000000000002E-2" maxValue="0.26369999999999999"/>
    </cacheField>
    <cacheField name="UL Block Error Rate(%)" numFmtId="0">
      <sharedItems containsString="0" containsBlank="1" containsNumber="1" minValue="0" maxValue="3.0999999999999999E-3"/>
    </cacheField>
    <cacheField name="ORA_3G_Average CPICH ECNO (%)" numFmtId="0">
      <sharedItems containsString="0" containsBlank="1" containsNumber="1" minValue="-11.36" maxValue="-3.18"/>
    </cacheField>
    <cacheField name="ORA_3G_Average RTWP (dBm)" numFmtId="0">
      <sharedItems containsString="0" containsBlank="1" containsNumber="1" minValue="-102.12" maxValue="-91.04"/>
    </cacheField>
    <cacheField name="OCM_3G_Soft_Handover_SR_New(%)" numFmtId="0">
      <sharedItems containsString="0" containsBlank="1" containsNumber="1" minValue="99.76" maxValue="100"/>
    </cacheField>
    <cacheField name="OCM_3G_IFHO_SR_New(%)" numFmtId="0">
      <sharedItems containsString="0" containsBlank="1" containsNumber="1" minValue="0" maxValue="100"/>
    </cacheField>
    <cacheField name="ORA_3G_to_2G_Handover-Success_Rate-Speech_New" numFmtId="0">
      <sharedItems containsString="0" containsBlank="1" containsNumber="1" minValue="0" maxValue="100"/>
    </cacheField>
    <cacheField name="ORA_3G_Soft Handover Overhead (%)" numFmtId="0">
      <sharedItems containsString="0" containsBlank="1" containsNumber="1" minValue="0.86119999999999997" maxValue="1"/>
    </cacheField>
    <cacheField name="frame_loss_rate" numFmtId="0">
      <sharedItems containsString="0" containsBlank="1" containsNumber="1" minValue="0" maxValue="9.4000000000000004E-3"/>
    </cacheField>
    <cacheField name="Number of RRC connection attempts due to call re-establishment" numFmtId="3">
      <sharedItems containsString="0" containsBlank="1" containsNumber="1" containsInteger="1" minValue="58" maxValue="645"/>
    </cacheField>
    <cacheField name="REC_3G_NB_RAB_FAILURE_CAUSE_BTS" numFmtId="3">
      <sharedItems containsString="0" containsBlank="1" containsNumber="1" containsInteger="1" minValue="0" maxValue="0"/>
    </cacheField>
    <cacheField name="REC_3G_NB_RAB_FAILURE_CAUSE_IUB" numFmtId="3">
      <sharedItems containsString="0" containsBlank="1" containsNumber="1" containsInteger="1" minValue="0" maxValue="0"/>
    </cacheField>
    <cacheField name="REC_3G_RAB_FAILURE_RATE_CAUSE_ULDL_POWER" numFmtId="0">
      <sharedItems containsString="0" containsBlank="1" containsNumber="1" containsInteger="1" minValue="0" maxValue="0"/>
    </cacheField>
    <cacheField name="Number of RRC connection re-establishment attempts" numFmtId="3">
      <sharedItems containsString="0" containsBlank="1" containsNumber="1" containsInteger="1" minValue="2" maxValue="81"/>
    </cacheField>
    <cacheField name="Success Ratio of Paging Message Sending for Cell Level(%)" numFmtId="0">
      <sharedItems containsString="0" containsBlank="1" containsNumber="1" minValue="0.99980000000000002" maxValue="1"/>
    </cacheField>
    <cacheField name="Cell Average FACH Utilization(%)" numFmtId="0">
      <sharedItems containsString="0" containsBlank="1" containsNumber="1" minValue="1.0800000000000001E-2" maxValue="0.17760000000000001"/>
    </cacheField>
    <cacheField name="3G_Downtime_Combine (en s)" numFmtId="3">
      <sharedItems containsString="0" containsBlank="1" containsNumber="1" containsInteger="1" minValue="789501600" maxValue="789507756"/>
    </cacheField>
    <cacheField name="OCM_3G Active users" numFmtId="166">
      <sharedItems containsString="0" containsBlank="1" containsNumber="1" minValue="8.1516000000000002" maxValue="85.101699999999994"/>
    </cacheField>
    <cacheField name="Average UL HSUPA RAB throughput(KByte/s)" numFmtId="166">
      <sharedItems containsString="0" containsBlank="1" containsNumber="1" minValue="25.657299999999999" maxValue="395.14449999999999"/>
    </cacheField>
    <cacheField name="Average DL HSDPA RAB throughput(KByte/s)" numFmtId="0">
      <sharedItems containsString="0" containsBlank="1" containsNumber="1" minValue="85.791799999999995" maxValue="2201.6858999999999"/>
    </cacheField>
    <cacheField name="ORA_3G_Cell Availability (%)" numFmtId="0">
      <sharedItems containsString="0" containsBlank="1" containsNumber="1" minValue="71.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s v="2025-12-18 11:00:00"/>
    <s v="1 hour"/>
    <s v="372"/>
    <s v="RNC_ZTE_Madagascar(372)"/>
    <s v="372"/>
    <s v="RNC_ZTE_Madagascar(372)"/>
    <s v="11287"/>
    <x v="0"/>
    <n v="1"/>
    <n v="48.75"/>
    <n v="6.0321999999999996"/>
    <n v="99.77"/>
    <n v="99.87"/>
    <n v="99.86"/>
    <n v="99.86"/>
    <n v="0.1"/>
    <n v="0.19"/>
    <n v="0"/>
    <n v="0"/>
    <n v="0"/>
    <n v="0"/>
    <n v="0"/>
    <n v="0"/>
    <n v="0"/>
    <n v="0.57120000000000004"/>
    <n v="0.3735"/>
    <n v="0.24030000000000001"/>
    <n v="5.0000000000000001E-4"/>
    <n v="-10.37"/>
    <n v="-93.76"/>
    <n v="99.95"/>
    <n v="77.78"/>
    <m/>
    <n v="1"/>
    <n v="2.9999999999999997E-4"/>
    <n v="309"/>
    <n v="0"/>
    <n v="0"/>
    <n v="0"/>
    <n v="30"/>
    <n v="1"/>
    <n v="0.13930000000000001"/>
    <n v="789501600"/>
    <n v="73.201599999999999"/>
    <n v="389.02910000000003"/>
    <n v="1260.2389000000001"/>
    <n v="100"/>
  </r>
  <r>
    <x v="0"/>
    <s v="2025-12-18 11:00:00"/>
    <s v="1 hour"/>
    <s v="372"/>
    <s v="RNC_ZTE_Madagascar(372)"/>
    <s v="372"/>
    <s v="RNC_ZTE_Madagascar(372)"/>
    <s v="11405"/>
    <x v="1"/>
    <n v="1"/>
    <n v="23.17"/>
    <n v="3.1810999999999998"/>
    <n v="99.72"/>
    <n v="99.7"/>
    <n v="99.7"/>
    <n v="99.7"/>
    <n v="0"/>
    <n v="0.28000000000000003"/>
    <n v="0"/>
    <n v="0"/>
    <n v="0"/>
    <n v="0"/>
    <n v="0"/>
    <n v="0"/>
    <n v="0"/>
    <n v="0.375"/>
    <n v="8.5500000000000007E-2"/>
    <n v="0.1802"/>
    <n v="5.0000000000000001E-4"/>
    <n v="-9.65"/>
    <n v="-98.81"/>
    <n v="99.9"/>
    <n v="100"/>
    <n v="100"/>
    <n v="1"/>
    <n v="1E-3"/>
    <n v="298"/>
    <n v="0"/>
    <n v="0"/>
    <n v="0"/>
    <n v="25"/>
    <n v="1"/>
    <n v="3.8300000000000001E-2"/>
    <n v="789501600"/>
    <n v="41.011699999999998"/>
    <n v="224.36510000000001"/>
    <n v="664.32740000000001"/>
    <n v="100"/>
  </r>
  <r>
    <x v="0"/>
    <s v="2025-12-18 11:00:00"/>
    <s v="1 hour"/>
    <s v="372"/>
    <s v="RNC_ZTE_Madagascar(372)"/>
    <s v="372"/>
    <s v="RNC_ZTE_Madagascar(372)"/>
    <s v="11651"/>
    <x v="2"/>
    <n v="1"/>
    <n v="53.45"/>
    <n v="4.9916"/>
    <n v="99.82"/>
    <n v="99.75"/>
    <n v="99.75"/>
    <n v="99.76"/>
    <n v="0.12"/>
    <n v="0.24"/>
    <n v="0"/>
    <n v="0"/>
    <n v="0"/>
    <n v="0"/>
    <n v="0"/>
    <n v="0"/>
    <n v="6.9999999999999999E-4"/>
    <n v="0.46760000000000002"/>
    <n v="0.1593"/>
    <n v="0.25530000000000003"/>
    <n v="8.0000000000000004E-4"/>
    <n v="-9.44"/>
    <n v="-92.02"/>
    <n v="99.97"/>
    <n v="92.86"/>
    <n v="66.67"/>
    <n v="1"/>
    <n v="2.8999999999999998E-3"/>
    <n v="181"/>
    <n v="0"/>
    <n v="0"/>
    <n v="0"/>
    <n v="36"/>
    <n v="1"/>
    <n v="6.0199999999999997E-2"/>
    <n v="789501600"/>
    <n v="65.943399999999997"/>
    <n v="256.11309999999997"/>
    <n v="1132.2556"/>
    <n v="100"/>
  </r>
  <r>
    <x v="0"/>
    <s v="2025-12-18 11:00:00"/>
    <s v="1 hour"/>
    <s v="372"/>
    <s v="RNC_ZTE_Madagascar(372)"/>
    <s v="372"/>
    <s v="RNC_ZTE_Madagascar(372)"/>
    <s v="61102"/>
    <x v="3"/>
    <n v="1"/>
    <n v="18.39"/>
    <n v="2.5750999999999999"/>
    <n v="99.66"/>
    <n v="99.85"/>
    <n v="99.83"/>
    <n v="99.83"/>
    <n v="0.09"/>
    <n v="0.2"/>
    <n v="0"/>
    <n v="0"/>
    <n v="0"/>
    <n v="0"/>
    <n v="0"/>
    <n v="0"/>
    <n v="0"/>
    <n v="0.28299999999999997"/>
    <n v="8.2900000000000001E-2"/>
    <n v="0.23549999999999999"/>
    <n v="5.0000000000000001E-4"/>
    <n v="-7.91"/>
    <n v="-98.92"/>
    <n v="99.91"/>
    <n v="100"/>
    <n v="100"/>
    <n v="1"/>
    <n v="2.0000000000000001E-4"/>
    <n v="67"/>
    <n v="0"/>
    <n v="0"/>
    <n v="0"/>
    <n v="25"/>
    <n v="1"/>
    <n v="3.1399999999999997E-2"/>
    <n v="789501600"/>
    <n v="31.013300000000001"/>
    <n v="118.697"/>
    <n v="590.98599999999999"/>
    <n v="100"/>
  </r>
  <r>
    <x v="1"/>
    <s v="2025-12-18 12:00:00"/>
    <s v="1 hour"/>
    <s v="372"/>
    <s v="RNC_ZTE_Madagascar(372)"/>
    <s v="372"/>
    <s v="RNC_ZTE_Madagascar(372)"/>
    <s v="11287"/>
    <x v="0"/>
    <n v="1"/>
    <n v="43.1"/>
    <n v="7.4913999999999996"/>
    <n v="99.73"/>
    <n v="99.74"/>
    <n v="99.74"/>
    <n v="99.74"/>
    <n v="0.11"/>
    <n v="0.19"/>
    <n v="0"/>
    <n v="0"/>
    <n v="0"/>
    <n v="0"/>
    <n v="0"/>
    <n v="0"/>
    <n v="0"/>
    <n v="0.67859999999999998"/>
    <n v="0.41239999999999999"/>
    <n v="0.23649999999999999"/>
    <n v="5.0000000000000001E-4"/>
    <n v="-11.01"/>
    <n v="-93.42"/>
    <n v="99.92"/>
    <n v="100"/>
    <m/>
    <n v="0.99980000000000002"/>
    <n v="1E-3"/>
    <n v="222"/>
    <n v="0"/>
    <n v="0"/>
    <n v="0"/>
    <n v="51"/>
    <n v="1"/>
    <n v="0.15809999999999999"/>
    <n v="789501600"/>
    <n v="77.260000000000005"/>
    <n v="395.14449999999999"/>
    <n v="1686.2940000000001"/>
    <n v="100"/>
  </r>
  <r>
    <x v="1"/>
    <s v="2025-12-18 12:00:00"/>
    <s v="1 hour"/>
    <s v="372"/>
    <s v="RNC_ZTE_Madagascar(372)"/>
    <s v="372"/>
    <s v="RNC_ZTE_Madagascar(372)"/>
    <s v="11405"/>
    <x v="1"/>
    <n v="1"/>
    <n v="21.02"/>
    <n v="3.8069999999999999"/>
    <n v="99.76"/>
    <n v="99.83"/>
    <n v="99.84"/>
    <n v="99.84"/>
    <n v="0.08"/>
    <n v="0.23"/>
    <n v="0"/>
    <n v="0"/>
    <n v="0"/>
    <n v="0"/>
    <n v="0"/>
    <n v="0"/>
    <n v="0"/>
    <n v="0.41970000000000002"/>
    <n v="0.105"/>
    <n v="0.17960000000000001"/>
    <n v="5.9999999999999995E-4"/>
    <n v="-9.59"/>
    <n v="-98.86"/>
    <n v="99.89"/>
    <n v="93.75"/>
    <n v="90.91"/>
    <n v="0.99980000000000002"/>
    <n v="4.1999999999999997E-3"/>
    <n v="346"/>
    <n v="0"/>
    <n v="0"/>
    <n v="0"/>
    <n v="26"/>
    <n v="1"/>
    <n v="4.5900000000000003E-2"/>
    <n v="789501600"/>
    <n v="44.968299999999999"/>
    <n v="236.18379999999999"/>
    <n v="836.55799999999999"/>
    <n v="100"/>
  </r>
  <r>
    <x v="1"/>
    <s v="2025-12-18 12:00:00"/>
    <s v="1 hour"/>
    <s v="372"/>
    <s v="RNC_ZTE_Madagascar(372)"/>
    <s v="372"/>
    <s v="RNC_ZTE_Madagascar(372)"/>
    <s v="11651"/>
    <x v="2"/>
    <n v="1"/>
    <n v="55.53"/>
    <n v="6.1105999999999998"/>
    <n v="99.94"/>
    <n v="99.76"/>
    <n v="99.76"/>
    <n v="99.76"/>
    <n v="0.06"/>
    <n v="0.24"/>
    <n v="0"/>
    <n v="0"/>
    <n v="0"/>
    <n v="0"/>
    <n v="0"/>
    <n v="0"/>
    <n v="2.0000000000000001E-4"/>
    <n v="0.5585"/>
    <n v="0.15459999999999999"/>
    <n v="0.25109999999999999"/>
    <n v="8.9999999999999998E-4"/>
    <n v="-10.18"/>
    <n v="-91.74"/>
    <n v="99.95"/>
    <n v="82.35"/>
    <n v="70.59"/>
    <n v="0.99990000000000001"/>
    <n v="2.3999999999999998E-3"/>
    <n v="250"/>
    <n v="0"/>
    <n v="0"/>
    <n v="0"/>
    <n v="57"/>
    <n v="1"/>
    <n v="6.1199999999999997E-2"/>
    <n v="789501600"/>
    <n v="70.958399999999997"/>
    <n v="311.03910000000002"/>
    <n v="1376.6759999999999"/>
    <n v="100"/>
  </r>
  <r>
    <x v="1"/>
    <s v="2025-12-18 12:00:00"/>
    <s v="1 hour"/>
    <s v="372"/>
    <s v="RNC_ZTE_Madagascar(372)"/>
    <s v="372"/>
    <s v="RNC_ZTE_Madagascar(372)"/>
    <s v="61102"/>
    <x v="3"/>
    <n v="1"/>
    <n v="20.62"/>
    <n v="3.6892999999999998"/>
    <n v="99.41"/>
    <n v="99.61"/>
    <n v="99.59"/>
    <n v="99.59"/>
    <n v="0.15"/>
    <n v="0.26"/>
    <n v="0"/>
    <n v="0"/>
    <n v="0"/>
    <n v="0"/>
    <n v="0"/>
    <n v="0"/>
    <n v="0"/>
    <n v="0.36520000000000002"/>
    <n v="9.3700000000000006E-2"/>
    <n v="0.23050000000000001"/>
    <n v="5.9999999999999995E-4"/>
    <n v="-8.5299999999999994"/>
    <n v="-98.33"/>
    <n v="99.89"/>
    <n v="100"/>
    <n v="100"/>
    <n v="0.99960000000000004"/>
    <n v="2.2000000000000001E-3"/>
    <n v="83"/>
    <n v="0"/>
    <n v="0"/>
    <n v="0"/>
    <n v="22"/>
    <n v="1"/>
    <n v="3.5099999999999999E-2"/>
    <n v="789501600"/>
    <n v="34.423400000000001"/>
    <n v="153.43010000000001"/>
    <n v="873.53039999999999"/>
    <n v="100"/>
  </r>
  <r>
    <x v="2"/>
    <s v="2025-12-18 13:00:00"/>
    <s v="1 hour"/>
    <s v="372"/>
    <s v="RNC_ZTE_Madagascar(372)"/>
    <s v="372"/>
    <s v="RNC_ZTE_Madagascar(372)"/>
    <s v="11287"/>
    <x v="0"/>
    <n v="1"/>
    <n v="42.59"/>
    <n v="7.8227000000000002"/>
    <n v="99.9"/>
    <n v="99.72"/>
    <n v="99.73"/>
    <n v="99.73"/>
    <n v="7.0000000000000007E-2"/>
    <n v="0.2"/>
    <n v="0"/>
    <n v="0"/>
    <n v="0"/>
    <n v="0"/>
    <n v="0"/>
    <n v="0"/>
    <n v="0"/>
    <n v="0.70030000000000003"/>
    <n v="0.3866"/>
    <n v="0.2392"/>
    <n v="5.9999999999999995E-4"/>
    <n v="-11.13"/>
    <n v="-92.37"/>
    <n v="99.94"/>
    <n v="100"/>
    <m/>
    <n v="1"/>
    <n v="2.9999999999999997E-4"/>
    <n v="269"/>
    <n v="0"/>
    <n v="0"/>
    <n v="0"/>
    <n v="40"/>
    <n v="1"/>
    <n v="0.16339999999999999"/>
    <n v="789501600"/>
    <n v="75.563299999999998"/>
    <n v="328.0917"/>
    <n v="1841.1207999999999"/>
    <n v="100"/>
  </r>
  <r>
    <x v="2"/>
    <s v="2025-12-18 13:00:00"/>
    <s v="1 hour"/>
    <s v="372"/>
    <s v="RNC_ZTE_Madagascar(372)"/>
    <s v="372"/>
    <s v="RNC_ZTE_Madagascar(372)"/>
    <s v="11405"/>
    <x v="1"/>
    <n v="1"/>
    <n v="18.78"/>
    <n v="3.6766000000000001"/>
    <n v="99.61"/>
    <n v="99.77"/>
    <n v="99.78"/>
    <n v="99.78"/>
    <n v="0"/>
    <n v="0.34"/>
    <n v="0"/>
    <n v="0"/>
    <n v="0"/>
    <n v="0"/>
    <n v="0"/>
    <n v="0"/>
    <n v="0"/>
    <n v="0.40820000000000001"/>
    <n v="9.5000000000000001E-2"/>
    <n v="0.18160000000000001"/>
    <n v="5.0000000000000001E-4"/>
    <n v="-9.59"/>
    <n v="-98.77"/>
    <n v="99.92"/>
    <n v="87.5"/>
    <n v="63.64"/>
    <n v="0.96360000000000001"/>
    <n v="1.5E-3"/>
    <n v="261"/>
    <n v="0"/>
    <n v="0"/>
    <n v="0"/>
    <n v="34"/>
    <n v="1"/>
    <n v="4.1700000000000001E-2"/>
    <n v="789501600"/>
    <n v="43.606699999999996"/>
    <n v="248.3426"/>
    <n v="788.68240000000003"/>
    <n v="100"/>
  </r>
  <r>
    <x v="2"/>
    <s v="2025-12-18 13:00:00"/>
    <s v="1 hour"/>
    <s v="372"/>
    <s v="RNC_ZTE_Madagascar(372)"/>
    <s v="372"/>
    <s v="RNC_ZTE_Madagascar(372)"/>
    <s v="11651"/>
    <x v="2"/>
    <n v="1"/>
    <n v="52.27"/>
    <n v="4.5434999999999999"/>
    <n v="99.86"/>
    <n v="99.77"/>
    <n v="99.78"/>
    <n v="99.77"/>
    <n v="0.03"/>
    <n v="0.36"/>
    <n v="0"/>
    <n v="0"/>
    <n v="0"/>
    <n v="0"/>
    <n v="0"/>
    <n v="0"/>
    <n v="1.4E-3"/>
    <n v="0.4829"/>
    <n v="0.1245"/>
    <n v="0.25600000000000001"/>
    <n v="1E-3"/>
    <n v="-9.9600000000000009"/>
    <n v="-91.04"/>
    <n v="99.93"/>
    <n v="84.21"/>
    <n v="100"/>
    <n v="0.99980000000000002"/>
    <n v="2.0999999999999999E-3"/>
    <n v="218"/>
    <n v="0"/>
    <n v="0"/>
    <n v="0"/>
    <n v="39"/>
    <n v="1"/>
    <n v="5.1799999999999999E-2"/>
    <n v="789501600"/>
    <n v="67.349999999999994"/>
    <n v="260.77730000000003"/>
    <n v="977.69629999999995"/>
    <n v="100"/>
  </r>
  <r>
    <x v="2"/>
    <s v="2025-12-18 13:00:00"/>
    <s v="1 hour"/>
    <s v="372"/>
    <s v="RNC_ZTE_Madagascar(372)"/>
    <s v="372"/>
    <s v="RNC_ZTE_Madagascar(372)"/>
    <s v="61102"/>
    <x v="3"/>
    <n v="1"/>
    <n v="20.29"/>
    <n v="3.0125999999999999"/>
    <n v="99.77"/>
    <n v="99.66"/>
    <n v="99.6"/>
    <n v="99.6"/>
    <n v="0.15"/>
    <n v="0.27"/>
    <n v="0"/>
    <n v="0"/>
    <n v="0"/>
    <n v="0"/>
    <n v="0"/>
    <n v="0"/>
    <n v="0"/>
    <n v="0.30880000000000002"/>
    <n v="7.7100000000000002E-2"/>
    <n v="0.23380000000000001"/>
    <n v="8.9999999999999998E-4"/>
    <n v="-8.39"/>
    <n v="-97.88"/>
    <n v="99.95"/>
    <n v="91.67"/>
    <n v="75"/>
    <n v="1"/>
    <n v="2.0000000000000001E-4"/>
    <n v="105"/>
    <n v="0"/>
    <n v="0"/>
    <n v="0"/>
    <n v="27"/>
    <n v="1"/>
    <n v="3.1899999999999998E-2"/>
    <n v="789501600"/>
    <n v="33.525100000000002"/>
    <n v="149.71799999999999"/>
    <n v="690.7414"/>
    <n v="100"/>
  </r>
  <r>
    <x v="3"/>
    <s v="2025-12-18 14:00:00"/>
    <s v="1 hour"/>
    <s v="372"/>
    <s v="RNC_ZTE_Madagascar(372)"/>
    <s v="372"/>
    <s v="RNC_ZTE_Madagascar(372)"/>
    <s v="11287"/>
    <x v="0"/>
    <n v="1"/>
    <n v="49.63"/>
    <n v="7.8085000000000004"/>
    <n v="99.87"/>
    <n v="99.75"/>
    <n v="99.74"/>
    <n v="99.74"/>
    <n v="0.1"/>
    <n v="0.18"/>
    <n v="0"/>
    <n v="0"/>
    <n v="0"/>
    <n v="0"/>
    <n v="0"/>
    <n v="0"/>
    <n v="0"/>
    <n v="0.71379999999999999"/>
    <n v="0.43380000000000002"/>
    <n v="0.23530000000000001"/>
    <n v="5.9999999999999995E-4"/>
    <n v="-11.36"/>
    <n v="-93.2"/>
    <n v="99.93"/>
    <n v="66.67"/>
    <n v="100"/>
    <n v="0.99970000000000003"/>
    <n v="2.9999999999999997E-4"/>
    <n v="349"/>
    <n v="0"/>
    <n v="0"/>
    <n v="0"/>
    <n v="60"/>
    <n v="1"/>
    <n v="0.17760000000000001"/>
    <n v="789501600"/>
    <n v="81.948300000000003"/>
    <n v="355.22109999999998"/>
    <n v="1834.6762000000001"/>
    <n v="100"/>
  </r>
  <r>
    <x v="3"/>
    <s v="2025-12-18 14:00:00"/>
    <s v="1 hour"/>
    <s v="372"/>
    <s v="RNC_ZTE_Madagascar(372)"/>
    <s v="372"/>
    <s v="RNC_ZTE_Madagascar(372)"/>
    <s v="11405"/>
    <x v="1"/>
    <n v="1"/>
    <n v="20.84"/>
    <n v="3.4571999999999998"/>
    <n v="99.83"/>
    <n v="99.73"/>
    <n v="99.74"/>
    <n v="99.74"/>
    <n v="0"/>
    <n v="0.32"/>
    <n v="0"/>
    <n v="0"/>
    <n v="0"/>
    <n v="0"/>
    <n v="0"/>
    <n v="0"/>
    <n v="2.0000000000000001E-4"/>
    <n v="0.42859999999999998"/>
    <n v="9.5100000000000004E-2"/>
    <n v="0.17699999999999999"/>
    <n v="5.0000000000000001E-4"/>
    <n v="-9.82"/>
    <n v="-98.83"/>
    <n v="99.93"/>
    <n v="83.33"/>
    <n v="87.5"/>
    <n v="1"/>
    <n v="4.0000000000000002E-4"/>
    <n v="273"/>
    <n v="0"/>
    <n v="0"/>
    <n v="0"/>
    <n v="27"/>
    <n v="1"/>
    <n v="4.0899999999999999E-2"/>
    <n v="789501600"/>
    <n v="46.311599999999999"/>
    <n v="197.98820000000001"/>
    <n v="756.95960000000002"/>
    <n v="100"/>
  </r>
  <r>
    <x v="3"/>
    <s v="2025-12-18 14:00:00"/>
    <s v="1 hour"/>
    <s v="372"/>
    <s v="RNC_ZTE_Madagascar(372)"/>
    <s v="372"/>
    <s v="RNC_ZTE_Madagascar(372)"/>
    <s v="11651"/>
    <x v="2"/>
    <n v="0.71499999999999997"/>
    <n v="33.47"/>
    <n v="3.3978000000000002"/>
    <n v="99.83"/>
    <n v="99.81"/>
    <n v="99.82"/>
    <n v="99.82"/>
    <n v="0.13"/>
    <n v="0.35"/>
    <n v="0"/>
    <n v="0"/>
    <n v="0"/>
    <n v="0"/>
    <n v="0"/>
    <n v="0"/>
    <n v="1.1000000000000001E-3"/>
    <n v="0.47299999999999998"/>
    <n v="9.9000000000000005E-2"/>
    <n v="0.22140000000000001"/>
    <n v="8.0000000000000004E-4"/>
    <n v="-9.58"/>
    <n v="-91.5"/>
    <n v="99.91"/>
    <n v="100"/>
    <n v="100"/>
    <n v="0.99919999999999998"/>
    <n v="1.1999999999999999E-3"/>
    <n v="139"/>
    <n v="0"/>
    <n v="0"/>
    <n v="0"/>
    <n v="37"/>
    <n v="1"/>
    <n v="4.0800000000000003E-2"/>
    <n v="789507756"/>
    <n v="41.638399999999997"/>
    <n v="226.91890000000001"/>
    <n v="704.92669999999998"/>
    <n v="71.5"/>
  </r>
  <r>
    <x v="3"/>
    <s v="2025-12-18 14:00:00"/>
    <s v="1 hour"/>
    <s v="372"/>
    <s v="RNC_ZTE_Madagascar(372)"/>
    <s v="372"/>
    <s v="RNC_ZTE_Madagascar(372)"/>
    <s v="61102"/>
    <x v="3"/>
    <n v="1"/>
    <n v="22.7"/>
    <n v="3.6352000000000002"/>
    <n v="99.54"/>
    <n v="99.49"/>
    <n v="99.5"/>
    <n v="99.5"/>
    <n v="0"/>
    <n v="0.41"/>
    <n v="0"/>
    <n v="0"/>
    <n v="0"/>
    <n v="0"/>
    <n v="0"/>
    <n v="0"/>
    <n v="0"/>
    <n v="0.38550000000000001"/>
    <n v="9.1399999999999995E-2"/>
    <n v="0.2293"/>
    <n v="1E-3"/>
    <n v="-9.73"/>
    <n v="-97.55"/>
    <n v="99.97"/>
    <n v="96"/>
    <n v="100"/>
    <n v="0.99990000000000001"/>
    <n v="2.0000000000000001E-4"/>
    <n v="152"/>
    <n v="0"/>
    <n v="0"/>
    <n v="0"/>
    <n v="81"/>
    <n v="1"/>
    <n v="4.2000000000000003E-2"/>
    <n v="789501600"/>
    <n v="42.826700000000002"/>
    <n v="255.4367"/>
    <n v="761.29840000000002"/>
    <n v="100"/>
  </r>
  <r>
    <x v="4"/>
    <s v="2025-12-18 15:00:00"/>
    <s v="1 hour"/>
    <s v="372"/>
    <s v="RNC_ZTE_Madagascar(372)"/>
    <s v="372"/>
    <s v="RNC_ZTE_Madagascar(372)"/>
    <s v="11287"/>
    <x v="0"/>
    <n v="1"/>
    <n v="44.28"/>
    <n v="7.6017999999999999"/>
    <n v="99.74"/>
    <n v="99.74"/>
    <n v="99.74"/>
    <n v="99.74"/>
    <n v="7.0000000000000007E-2"/>
    <n v="0.15"/>
    <n v="0"/>
    <n v="0"/>
    <n v="0"/>
    <n v="0"/>
    <n v="0"/>
    <n v="0"/>
    <n v="0"/>
    <n v="0.67459999999999998"/>
    <n v="0.40570000000000001"/>
    <n v="0.2329"/>
    <n v="5.0000000000000001E-4"/>
    <n v="-11.07"/>
    <n v="-93.79"/>
    <n v="99.96"/>
    <n v="80"/>
    <m/>
    <n v="0.99980000000000002"/>
    <n v="0"/>
    <n v="306"/>
    <n v="0"/>
    <n v="0"/>
    <n v="0"/>
    <n v="62"/>
    <n v="1"/>
    <n v="0.16259999999999999"/>
    <n v="789501600"/>
    <n v="78.448300000000003"/>
    <n v="324.52589999999998"/>
    <n v="1778.0856000000001"/>
    <n v="100"/>
  </r>
  <r>
    <x v="4"/>
    <s v="2025-12-18 15:00:00"/>
    <s v="1 hour"/>
    <s v="372"/>
    <s v="RNC_ZTE_Madagascar(372)"/>
    <s v="372"/>
    <s v="RNC_ZTE_Madagascar(372)"/>
    <s v="11405"/>
    <x v="1"/>
    <n v="1"/>
    <n v="18.96"/>
    <n v="3.3521000000000001"/>
    <n v="99.77"/>
    <n v="99.72"/>
    <n v="99.73"/>
    <n v="99.73"/>
    <n v="0"/>
    <n v="0.28000000000000003"/>
    <n v="0"/>
    <n v="0"/>
    <n v="0"/>
    <n v="0"/>
    <n v="0"/>
    <n v="0"/>
    <n v="1E-4"/>
    <n v="0.40400000000000003"/>
    <n v="9.6500000000000002E-2"/>
    <n v="0.1782"/>
    <n v="6.9999999999999999E-4"/>
    <n v="-9.76"/>
    <n v="-98.56"/>
    <n v="99.9"/>
    <n v="76.47"/>
    <n v="100"/>
    <n v="1"/>
    <n v="6.9999999999999999E-4"/>
    <n v="218"/>
    <n v="0"/>
    <n v="0"/>
    <n v="0"/>
    <n v="20"/>
    <n v="1"/>
    <n v="4.3400000000000001E-2"/>
    <n v="789501600"/>
    <n v="44.5383"/>
    <n v="175.60419999999999"/>
    <n v="761.32889999999998"/>
    <n v="100"/>
  </r>
  <r>
    <x v="4"/>
    <s v="2025-12-18 15:00:00"/>
    <s v="1 hour"/>
    <s v="372"/>
    <s v="RNC_ZTE_Madagascar(372)"/>
    <s v="372"/>
    <s v="RNC_ZTE_Madagascar(372)"/>
    <s v="11651"/>
    <x v="2"/>
    <n v="0.88380000000000003"/>
    <n v="42.48"/>
    <n v="4.6379000000000001"/>
    <n v="99.9"/>
    <n v="99.79"/>
    <n v="99.78"/>
    <n v="99.78"/>
    <n v="0.18"/>
    <n v="0.4"/>
    <n v="0"/>
    <n v="0"/>
    <n v="0"/>
    <n v="0"/>
    <n v="0"/>
    <n v="0"/>
    <n v="1E-3"/>
    <n v="0.49930000000000002"/>
    <n v="0.1258"/>
    <n v="0.22509999999999999"/>
    <n v="8.0000000000000004E-4"/>
    <n v="-9.5500000000000007"/>
    <n v="-91.98"/>
    <n v="99.93"/>
    <n v="100"/>
    <n v="100"/>
    <n v="0.99970000000000003"/>
    <n v="8.9999999999999998E-4"/>
    <n v="198"/>
    <n v="0"/>
    <n v="0"/>
    <n v="0"/>
    <n v="44"/>
    <n v="1"/>
    <n v="5.0900000000000001E-2"/>
    <n v="789504110"/>
    <n v="57.261699999999998"/>
    <n v="248.15559999999999"/>
    <n v="1021.3708"/>
    <n v="88.38000000000001"/>
  </r>
  <r>
    <x v="4"/>
    <s v="2025-12-18 15:00:00"/>
    <s v="1 hour"/>
    <s v="372"/>
    <s v="RNC_ZTE_Madagascar(372)"/>
    <s v="372"/>
    <s v="RNC_ZTE_Madagascar(372)"/>
    <s v="61102"/>
    <x v="3"/>
    <n v="1"/>
    <n v="19.36"/>
    <n v="3.0244"/>
    <n v="100"/>
    <n v="99.67"/>
    <n v="99.69"/>
    <n v="99.69"/>
    <n v="0.08"/>
    <n v="0.31"/>
    <n v="0"/>
    <n v="0"/>
    <n v="0"/>
    <n v="0"/>
    <n v="0"/>
    <n v="0"/>
    <n v="0"/>
    <n v="0.33510000000000001"/>
    <n v="7.4099999999999999E-2"/>
    <n v="0.22720000000000001"/>
    <n v="5.9999999999999995E-4"/>
    <n v="-8.65"/>
    <n v="-98.39"/>
    <n v="99.96"/>
    <n v="87.5"/>
    <n v="100"/>
    <n v="0.99980000000000002"/>
    <n v="2.0000000000000001E-4"/>
    <n v="140"/>
    <n v="0"/>
    <n v="0"/>
    <n v="0"/>
    <n v="45"/>
    <n v="1"/>
    <n v="2.9700000000000001E-2"/>
    <n v="789501600"/>
    <n v="34.631700000000002"/>
    <n v="167.1191"/>
    <n v="687.35630000000003"/>
    <n v="100"/>
  </r>
  <r>
    <x v="5"/>
    <s v="2025-12-18 16:00:00"/>
    <s v="1 hour"/>
    <s v="372"/>
    <s v="RNC_ZTE_Madagascar(372)"/>
    <s v="372"/>
    <s v="RNC_ZTE_Madagascar(372)"/>
    <s v="11287"/>
    <x v="0"/>
    <n v="1"/>
    <n v="42.13"/>
    <n v="6.3070000000000004"/>
    <n v="99.66"/>
    <n v="99.71"/>
    <n v="99.71"/>
    <n v="99.71"/>
    <n v="0.03"/>
    <n v="0.16"/>
    <n v="0"/>
    <n v="0"/>
    <n v="0"/>
    <n v="0"/>
    <n v="0"/>
    <n v="0"/>
    <n v="1E-4"/>
    <n v="0.61750000000000005"/>
    <n v="0.37159999999999999"/>
    <n v="0.23019999999999999"/>
    <n v="5.0000000000000001E-4"/>
    <n v="-10.65"/>
    <n v="-92.5"/>
    <n v="99.97"/>
    <n v="100"/>
    <n v="100"/>
    <n v="0.99990000000000001"/>
    <n v="2.9999999999999997E-4"/>
    <n v="381"/>
    <n v="0"/>
    <n v="0"/>
    <n v="0"/>
    <n v="34"/>
    <n v="1"/>
    <n v="0.1515"/>
    <n v="789501600"/>
    <n v="72.805000000000007"/>
    <n v="307.08510000000001"/>
    <n v="1452.0933"/>
    <n v="100"/>
  </r>
  <r>
    <x v="5"/>
    <s v="2025-12-18 16:00:00"/>
    <s v="1 hour"/>
    <s v="372"/>
    <s v="RNC_ZTE_Madagascar(372)"/>
    <s v="372"/>
    <s v="RNC_ZTE_Madagascar(372)"/>
    <s v="11405"/>
    <x v="1"/>
    <n v="1"/>
    <n v="19.32"/>
    <n v="4.1420000000000003"/>
    <n v="99.77"/>
    <n v="99.73"/>
    <n v="99.73"/>
    <n v="99.73"/>
    <n v="0.08"/>
    <n v="0.37"/>
    <n v="0"/>
    <n v="0"/>
    <n v="0"/>
    <n v="0"/>
    <n v="0"/>
    <n v="0"/>
    <n v="1E-4"/>
    <n v="0.44640000000000002"/>
    <n v="0.1022"/>
    <n v="0.18010000000000001"/>
    <n v="1.5E-3"/>
    <n v="-9.7100000000000009"/>
    <n v="-98.7"/>
    <n v="99.89"/>
    <n v="100"/>
    <n v="88.89"/>
    <n v="0.99629999999999996"/>
    <n v="1.2999999999999999E-3"/>
    <n v="223"/>
    <n v="0"/>
    <n v="0"/>
    <n v="0"/>
    <n v="13"/>
    <n v="1"/>
    <n v="4.3799999999999999E-2"/>
    <n v="789501600"/>
    <n v="43.835000000000001"/>
    <n v="225.8004"/>
    <n v="924.79740000000004"/>
    <n v="100"/>
  </r>
  <r>
    <x v="5"/>
    <s v="2025-12-18 16:00:00"/>
    <s v="1 hour"/>
    <s v="372"/>
    <s v="RNC_ZTE_Madagascar(372)"/>
    <s v="372"/>
    <s v="RNC_ZTE_Madagascar(372)"/>
    <s v="11651"/>
    <x v="2"/>
    <n v="1"/>
    <n v="47.55"/>
    <n v="4.8529"/>
    <n v="99.7"/>
    <n v="99.75"/>
    <n v="99.75"/>
    <n v="99.75"/>
    <n v="0.03"/>
    <n v="0.34"/>
    <n v="0"/>
    <n v="0"/>
    <n v="0"/>
    <n v="0"/>
    <n v="0"/>
    <n v="0"/>
    <n v="8.9999999999999998E-4"/>
    <n v="0.47489999999999999"/>
    <n v="0.128"/>
    <n v="0.24579999999999999"/>
    <n v="6.9999999999999999E-4"/>
    <n v="-9.23"/>
    <n v="-91.38"/>
    <n v="99.93"/>
    <n v="100"/>
    <n v="100"/>
    <n v="0.99980000000000002"/>
    <n v="1.2999999999999999E-3"/>
    <n v="149"/>
    <n v="0"/>
    <n v="0"/>
    <n v="0"/>
    <n v="38"/>
    <n v="1"/>
    <n v="4.9700000000000001E-2"/>
    <n v="789501600"/>
    <n v="58.9617"/>
    <n v="283.70600000000002"/>
    <n v="1058.2021999999999"/>
    <n v="100"/>
  </r>
  <r>
    <x v="5"/>
    <s v="2025-12-18 16:00:00"/>
    <s v="1 hour"/>
    <s v="372"/>
    <s v="RNC_ZTE_Madagascar(372)"/>
    <s v="372"/>
    <s v="RNC_ZTE_Madagascar(372)"/>
    <s v="61102"/>
    <x v="3"/>
    <n v="1"/>
    <n v="21.73"/>
    <n v="2.8193999999999999"/>
    <n v="99.93"/>
    <n v="99.6"/>
    <n v="99.61"/>
    <n v="99.61"/>
    <n v="0.08"/>
    <n v="0.23"/>
    <n v="0"/>
    <n v="0"/>
    <n v="0"/>
    <n v="0"/>
    <n v="0"/>
    <n v="0"/>
    <n v="0"/>
    <n v="0.28860000000000002"/>
    <n v="9.0999999999999998E-2"/>
    <n v="0.22509999999999999"/>
    <n v="5.9999999999999995E-4"/>
    <n v="-7.91"/>
    <n v="-98.47"/>
    <n v="99.97"/>
    <n v="90"/>
    <n v="100"/>
    <n v="1"/>
    <n v="2.0000000000000001E-4"/>
    <n v="60"/>
    <n v="0"/>
    <n v="0"/>
    <n v="0"/>
    <n v="30"/>
    <n v="1"/>
    <n v="3.4799999999999998E-2"/>
    <n v="789501600"/>
    <n v="35.635100000000001"/>
    <n v="143.90299999999999"/>
    <n v="645.64859999999999"/>
    <n v="100"/>
  </r>
  <r>
    <x v="6"/>
    <s v="2025-12-18 17:00:00"/>
    <s v="1 hour"/>
    <s v="372"/>
    <s v="RNC_ZTE_Madagascar(372)"/>
    <s v="372"/>
    <s v="RNC_ZTE_Madagascar(372)"/>
    <s v="11287"/>
    <x v="0"/>
    <n v="1"/>
    <n v="44.19"/>
    <n v="6.4947999999999997"/>
    <n v="99.69"/>
    <n v="99.77"/>
    <n v="99.78"/>
    <n v="99.78"/>
    <n v="0"/>
    <n v="0.11"/>
    <n v="0"/>
    <n v="0"/>
    <n v="0"/>
    <n v="0"/>
    <n v="0"/>
    <n v="0"/>
    <n v="0"/>
    <n v="0.6079"/>
    <n v="0.40179999999999999"/>
    <n v="0.23180000000000001"/>
    <n v="5.9999999999999995E-4"/>
    <n v="-10.55"/>
    <n v="-93.88"/>
    <n v="99.95"/>
    <n v="84.62"/>
    <n v="100"/>
    <n v="0.99990000000000001"/>
    <n v="1E-4"/>
    <n v="384"/>
    <n v="0"/>
    <n v="0"/>
    <n v="0"/>
    <n v="65"/>
    <n v="1"/>
    <n v="0.16189999999999999"/>
    <n v="789501600"/>
    <n v="74.173299999999998"/>
    <n v="316.9821"/>
    <n v="1491.3919000000001"/>
    <n v="100"/>
  </r>
  <r>
    <x v="6"/>
    <s v="2025-12-18 17:00:00"/>
    <s v="1 hour"/>
    <s v="372"/>
    <s v="RNC_ZTE_Madagascar(372)"/>
    <s v="372"/>
    <s v="RNC_ZTE_Madagascar(372)"/>
    <s v="11405"/>
    <x v="1"/>
    <n v="1"/>
    <n v="21.87"/>
    <n v="3.9300999999999999"/>
    <n v="99.76"/>
    <n v="99.57"/>
    <n v="99.55"/>
    <n v="99.55"/>
    <n v="0.08"/>
    <n v="0.34"/>
    <n v="0"/>
    <n v="0"/>
    <n v="0"/>
    <n v="0"/>
    <n v="0"/>
    <n v="0"/>
    <n v="0"/>
    <n v="0.41920000000000002"/>
    <n v="0.1055"/>
    <n v="0.1739"/>
    <n v="8.0000000000000004E-4"/>
    <n v="-9.42"/>
    <n v="-98.62"/>
    <n v="99.9"/>
    <n v="82.35"/>
    <n v="85.71"/>
    <n v="0.99990000000000001"/>
    <n v="2E-3"/>
    <n v="252"/>
    <n v="0"/>
    <n v="0"/>
    <n v="0"/>
    <n v="27"/>
    <n v="1"/>
    <n v="4.5999999999999999E-2"/>
    <n v="789501600"/>
    <n v="43.354999999999997"/>
    <n v="195.70689999999999"/>
    <n v="897.5249"/>
    <n v="100"/>
  </r>
  <r>
    <x v="6"/>
    <s v="2025-12-18 17:00:00"/>
    <s v="1 hour"/>
    <s v="372"/>
    <s v="RNC_ZTE_Madagascar(372)"/>
    <s v="372"/>
    <s v="RNC_ZTE_Madagascar(372)"/>
    <s v="11651"/>
    <x v="2"/>
    <n v="0.87519999999999998"/>
    <n v="42.84"/>
    <n v="4.3121999999999998"/>
    <n v="99.76"/>
    <n v="99.78"/>
    <n v="99.77"/>
    <n v="99.77"/>
    <n v="0.11"/>
    <n v="0.28999999999999998"/>
    <n v="0"/>
    <n v="0"/>
    <n v="0"/>
    <n v="0"/>
    <n v="0"/>
    <n v="0"/>
    <n v="2.9999999999999997E-4"/>
    <n v="0.45850000000000002"/>
    <n v="0.1193"/>
    <n v="0.21890000000000001"/>
    <n v="6.9999999999999999E-4"/>
    <n v="-9.26"/>
    <n v="-91.88"/>
    <n v="99.92"/>
    <n v="77.78"/>
    <n v="85.71"/>
    <n v="0.99990000000000001"/>
    <n v="1.1000000000000001E-3"/>
    <n v="145"/>
    <n v="0"/>
    <n v="0"/>
    <n v="0"/>
    <n v="36"/>
    <n v="1"/>
    <n v="4.5600000000000002E-2"/>
    <n v="789504295"/>
    <n v="53.471800000000002"/>
    <n v="225.7192"/>
    <n v="966.55920000000003"/>
    <n v="87.52"/>
  </r>
  <r>
    <x v="6"/>
    <s v="2025-12-18 17:00:00"/>
    <s v="1 hour"/>
    <s v="372"/>
    <s v="RNC_ZTE_Madagascar(372)"/>
    <s v="372"/>
    <s v="RNC_ZTE_Madagascar(372)"/>
    <s v="61102"/>
    <x v="3"/>
    <n v="1"/>
    <n v="18.54"/>
    <n v="2.7624"/>
    <n v="99.62"/>
    <n v="99.73"/>
    <n v="99.71"/>
    <n v="99.71"/>
    <n v="0"/>
    <n v="0.14000000000000001"/>
    <n v="0"/>
    <n v="0"/>
    <n v="0"/>
    <n v="0"/>
    <n v="0"/>
    <n v="0"/>
    <n v="0"/>
    <n v="0.2928"/>
    <n v="8.2900000000000001E-2"/>
    <n v="0.2271"/>
    <n v="4.0000000000000002E-4"/>
    <n v="-8.0299999999999994"/>
    <n v="-98.63"/>
    <n v="99.95"/>
    <n v="90.91"/>
    <n v="100"/>
    <n v="1"/>
    <n v="5.0000000000000001E-4"/>
    <n v="173"/>
    <n v="0"/>
    <n v="0"/>
    <n v="0"/>
    <n v="33"/>
    <n v="1"/>
    <n v="3.27E-2"/>
    <n v="789501600"/>
    <n v="33.423400000000001"/>
    <n v="158.0103"/>
    <n v="606.47550000000001"/>
    <n v="100"/>
  </r>
  <r>
    <x v="7"/>
    <s v="2025-12-18 18:00:00"/>
    <s v="1 hour"/>
    <s v="372"/>
    <s v="RNC_ZTE_Madagascar(372)"/>
    <s v="372"/>
    <s v="RNC_ZTE_Madagascar(372)"/>
    <s v="11287"/>
    <x v="0"/>
    <n v="1"/>
    <n v="44.34"/>
    <n v="6.5041000000000002"/>
    <n v="99.81"/>
    <n v="99.74"/>
    <n v="99.74"/>
    <n v="99.75"/>
    <n v="0.03"/>
    <n v="0.11"/>
    <n v="0"/>
    <n v="0"/>
    <n v="0"/>
    <n v="0"/>
    <n v="0"/>
    <n v="0"/>
    <n v="0"/>
    <n v="0.6079"/>
    <n v="0.40710000000000002"/>
    <n v="0.2432"/>
    <n v="5.9999999999999995E-4"/>
    <n v="-10.69"/>
    <n v="-93.97"/>
    <n v="99.96"/>
    <n v="100"/>
    <n v="100"/>
    <n v="0.99990000000000001"/>
    <n v="5.0000000000000001E-4"/>
    <n v="247"/>
    <n v="0"/>
    <n v="0"/>
    <n v="0"/>
    <n v="57"/>
    <n v="1"/>
    <n v="0.15840000000000001"/>
    <n v="789501600"/>
    <n v="72.776700000000005"/>
    <n v="287.90839999999997"/>
    <n v="1524.3396"/>
    <n v="100"/>
  </r>
  <r>
    <x v="7"/>
    <s v="2025-12-18 18:00:00"/>
    <s v="1 hour"/>
    <s v="372"/>
    <s v="RNC_ZTE_Madagascar(372)"/>
    <s v="372"/>
    <s v="RNC_ZTE_Madagascar(372)"/>
    <s v="11405"/>
    <x v="1"/>
    <n v="1"/>
    <n v="20.78"/>
    <n v="4.6402000000000001"/>
    <n v="99.64"/>
    <n v="99.73"/>
    <n v="99.72"/>
    <n v="99.72"/>
    <n v="0.23"/>
    <n v="0.31"/>
    <n v="0"/>
    <n v="0"/>
    <n v="0"/>
    <n v="0"/>
    <n v="0"/>
    <n v="0"/>
    <n v="0"/>
    <n v="0.44829999999999998"/>
    <n v="0.1132"/>
    <n v="0.17810000000000001"/>
    <n v="6.9999999999999999E-4"/>
    <n v="-9.86"/>
    <n v="-98.33"/>
    <n v="99.92"/>
    <n v="94.12"/>
    <n v="100"/>
    <n v="0.99980000000000002"/>
    <n v="5.4999999999999997E-3"/>
    <n v="271"/>
    <n v="0"/>
    <n v="0"/>
    <n v="0"/>
    <n v="18"/>
    <n v="1"/>
    <n v="4.8099999999999997E-2"/>
    <n v="789501600"/>
    <n v="44.938299999999998"/>
    <n v="210.58269999999999"/>
    <n v="1088.0027"/>
    <n v="100"/>
  </r>
  <r>
    <x v="7"/>
    <s v="2025-12-18 18:00:00"/>
    <s v="1 hour"/>
    <s v="372"/>
    <s v="RNC_ZTE_Madagascar(372)"/>
    <s v="372"/>
    <s v="RNC_ZTE_Madagascar(372)"/>
    <s v="11651"/>
    <x v="2"/>
    <n v="1"/>
    <n v="46.54"/>
    <n v="5.1616999999999997"/>
    <n v="99.91"/>
    <n v="99.84"/>
    <n v="99.81"/>
    <n v="99.81"/>
    <n v="0.19"/>
    <n v="0.33"/>
    <n v="0"/>
    <n v="0"/>
    <n v="0"/>
    <n v="0"/>
    <n v="0"/>
    <n v="0"/>
    <n v="6.9999999999999999E-4"/>
    <n v="0.46650000000000003"/>
    <n v="0.1075"/>
    <n v="0.25790000000000002"/>
    <n v="8.9999999999999998E-4"/>
    <n v="-8.94"/>
    <n v="-92.25"/>
    <n v="99.93"/>
    <n v="88.89"/>
    <n v="85.71"/>
    <n v="0.99990000000000001"/>
    <n v="1.1999999999999999E-3"/>
    <n v="256"/>
    <n v="0"/>
    <n v="0"/>
    <n v="0"/>
    <n v="41"/>
    <n v="1"/>
    <n v="4.1000000000000002E-2"/>
    <n v="789501600"/>
    <n v="54.848300000000002"/>
    <n v="220.32910000000001"/>
    <n v="1213.6361999999999"/>
    <n v="100"/>
  </r>
  <r>
    <x v="7"/>
    <s v="2025-12-18 18:00:00"/>
    <s v="1 hour"/>
    <s v="372"/>
    <s v="RNC_ZTE_Madagascar(372)"/>
    <s v="372"/>
    <s v="RNC_ZTE_Madagascar(372)"/>
    <s v="61102"/>
    <x v="3"/>
    <n v="1"/>
    <n v="21.12"/>
    <n v="2.4464999999999999"/>
    <n v="99.68"/>
    <n v="99.8"/>
    <n v="99.79"/>
    <n v="99.79"/>
    <n v="7.0000000000000007E-2"/>
    <n v="0.2"/>
    <n v="0"/>
    <n v="0"/>
    <n v="0"/>
    <n v="0"/>
    <n v="0"/>
    <n v="0"/>
    <n v="0"/>
    <n v="0.26479999999999998"/>
    <n v="8.1699999999999995E-2"/>
    <n v="0.23760000000000001"/>
    <n v="4.0000000000000002E-4"/>
    <n v="-8.06"/>
    <n v="-98.57"/>
    <n v="99.93"/>
    <n v="100"/>
    <n v="100"/>
    <n v="0.99990000000000001"/>
    <n v="4.0000000000000002E-4"/>
    <n v="147"/>
    <n v="0"/>
    <n v="0"/>
    <n v="0"/>
    <n v="22"/>
    <n v="1"/>
    <n v="3.15E-2"/>
    <n v="789501600"/>
    <n v="35.036700000000003"/>
    <n v="217.4417"/>
    <n v="469.14150000000001"/>
    <n v="100"/>
  </r>
  <r>
    <x v="8"/>
    <s v="2025-12-18 19:00:00"/>
    <s v="1 hour"/>
    <s v="372"/>
    <s v="RNC_ZTE_Madagascar(372)"/>
    <s v="372"/>
    <s v="RNC_ZTE_Madagascar(372)"/>
    <s v="11287"/>
    <x v="0"/>
    <n v="1"/>
    <n v="39.619999999999997"/>
    <n v="7.3502000000000001"/>
    <n v="99.73"/>
    <n v="99.82"/>
    <n v="99.8"/>
    <n v="99.8"/>
    <n v="0.04"/>
    <n v="0.16"/>
    <n v="0"/>
    <n v="0"/>
    <n v="0"/>
    <n v="0"/>
    <n v="0"/>
    <n v="0"/>
    <n v="0"/>
    <n v="0.64400000000000002"/>
    <n v="0.35210000000000002"/>
    <n v="0.25069999999999998"/>
    <n v="5.0000000000000001E-4"/>
    <n v="-10.94"/>
    <n v="-94.15"/>
    <n v="99.95"/>
    <n v="100"/>
    <n v="100"/>
    <n v="0.99980000000000002"/>
    <n v="1E-4"/>
    <n v="313"/>
    <n v="0"/>
    <n v="0"/>
    <n v="0"/>
    <n v="27"/>
    <n v="1"/>
    <n v="0.14729999999999999"/>
    <n v="789501600"/>
    <n v="69.66"/>
    <n v="316.96429999999998"/>
    <n v="1728.7424000000001"/>
    <n v="100"/>
  </r>
  <r>
    <x v="8"/>
    <s v="2025-12-18 19:00:00"/>
    <s v="1 hour"/>
    <s v="372"/>
    <s v="RNC_ZTE_Madagascar(372)"/>
    <s v="372"/>
    <s v="RNC_ZTE_Madagascar(372)"/>
    <s v="11405"/>
    <x v="1"/>
    <n v="1"/>
    <n v="25.85"/>
    <n v="5.7759999999999998"/>
    <n v="99.69"/>
    <n v="99.68"/>
    <n v="99.68"/>
    <n v="99.68"/>
    <n v="0"/>
    <n v="0.24"/>
    <n v="0"/>
    <n v="0"/>
    <n v="0"/>
    <n v="0"/>
    <n v="0"/>
    <n v="0"/>
    <n v="0"/>
    <n v="0.54110000000000003"/>
    <n v="0.1162"/>
    <n v="0.19059999999999999"/>
    <n v="5.9999999999999995E-4"/>
    <n v="-10.36"/>
    <n v="-97.92"/>
    <n v="99.93"/>
    <n v="100"/>
    <n v="94.12"/>
    <n v="0.99990000000000001"/>
    <n v="1.1000000000000001E-3"/>
    <n v="359"/>
    <n v="0"/>
    <n v="0"/>
    <n v="0"/>
    <n v="34"/>
    <n v="1"/>
    <n v="5.0299999999999997E-2"/>
    <n v="789501600"/>
    <n v="50.146799999999999"/>
    <n v="238.23990000000001"/>
    <n v="1373.1069"/>
    <n v="100"/>
  </r>
  <r>
    <x v="8"/>
    <s v="2025-12-18 19:00:00"/>
    <s v="1 hour"/>
    <s v="372"/>
    <s v="RNC_ZTE_Madagascar(372)"/>
    <s v="372"/>
    <s v="RNC_ZTE_Madagascar(372)"/>
    <s v="11651"/>
    <x v="2"/>
    <n v="1"/>
    <n v="49.07"/>
    <n v="3.996"/>
    <n v="99.88"/>
    <n v="99.79"/>
    <n v="99.78"/>
    <n v="99.78"/>
    <n v="0"/>
    <n v="0.16"/>
    <n v="0"/>
    <n v="0"/>
    <n v="0"/>
    <n v="0"/>
    <n v="0"/>
    <n v="0"/>
    <n v="1.1999999999999999E-3"/>
    <n v="0.43509999999999999"/>
    <n v="0.1201"/>
    <n v="0.26369999999999999"/>
    <n v="1E-3"/>
    <n v="-8.9499999999999993"/>
    <n v="-93.11"/>
    <n v="99.93"/>
    <n v="100"/>
    <n v="100"/>
    <n v="0.99990000000000001"/>
    <n v="5.9999999999999995E-4"/>
    <n v="269"/>
    <n v="0"/>
    <n v="0"/>
    <n v="0"/>
    <n v="46"/>
    <n v="1"/>
    <n v="4.65E-2"/>
    <n v="789501600"/>
    <n v="57.003399999999999"/>
    <n v="216.3167"/>
    <n v="890.54780000000005"/>
    <n v="100"/>
  </r>
  <r>
    <x v="8"/>
    <s v="2025-12-18 19:00:00"/>
    <s v="1 hour"/>
    <s v="372"/>
    <s v="RNC_ZTE_Madagascar(372)"/>
    <s v="372"/>
    <s v="RNC_ZTE_Madagascar(372)"/>
    <s v="61102"/>
    <x v="3"/>
    <n v="1"/>
    <n v="25.58"/>
    <n v="3.0705"/>
    <n v="99.83"/>
    <n v="99.79"/>
    <n v="99.8"/>
    <n v="99.8"/>
    <n v="0"/>
    <n v="0.1"/>
    <n v="0"/>
    <n v="0"/>
    <n v="0"/>
    <n v="0"/>
    <n v="0"/>
    <n v="0"/>
    <n v="0"/>
    <n v="0.31690000000000002"/>
    <n v="9.6199999999999994E-2"/>
    <n v="0.24579999999999999"/>
    <n v="5.0000000000000001E-4"/>
    <n v="-8.42"/>
    <n v="-98.6"/>
    <n v="99.98"/>
    <n v="100"/>
    <n v="100"/>
    <n v="1"/>
    <n v="1E-4"/>
    <n v="120"/>
    <n v="0"/>
    <n v="0"/>
    <n v="0"/>
    <n v="11"/>
    <n v="1"/>
    <n v="3.6799999999999999E-2"/>
    <n v="789501600"/>
    <n v="39.5383"/>
    <n v="212.6773"/>
    <n v="651.28610000000003"/>
    <n v="100"/>
  </r>
  <r>
    <x v="9"/>
    <s v="2025-12-18 20:00:00"/>
    <s v="1 hour"/>
    <s v="372"/>
    <s v="RNC_ZTE_Madagascar(372)"/>
    <s v="372"/>
    <s v="RNC_ZTE_Madagascar(372)"/>
    <s v="11287"/>
    <x v="0"/>
    <n v="1"/>
    <n v="51.42"/>
    <n v="6.9867999999999997"/>
    <n v="99.62"/>
    <n v="99.66"/>
    <n v="99.66"/>
    <n v="99.66"/>
    <n v="7.0000000000000007E-2"/>
    <n v="0.25"/>
    <n v="0"/>
    <n v="0"/>
    <n v="0"/>
    <n v="0"/>
    <n v="0"/>
    <n v="0"/>
    <n v="0"/>
    <n v="0.69059999999999999"/>
    <n v="0.40200000000000002"/>
    <n v="0.24660000000000001"/>
    <n v="5.0000000000000001E-4"/>
    <n v="-11.32"/>
    <n v="-93.78"/>
    <n v="99.96"/>
    <n v="60"/>
    <m/>
    <n v="1"/>
    <n v="2.0000000000000001E-4"/>
    <n v="405"/>
    <n v="0"/>
    <n v="0"/>
    <n v="0"/>
    <n v="39"/>
    <n v="1"/>
    <n v="0.1721"/>
    <n v="789501600"/>
    <n v="85.101699999999994"/>
    <n v="340.54149999999998"/>
    <n v="1598.2784999999999"/>
    <n v="100"/>
  </r>
  <r>
    <x v="9"/>
    <s v="2025-12-18 20:00:00"/>
    <s v="1 hour"/>
    <s v="372"/>
    <s v="RNC_ZTE_Madagascar(372)"/>
    <s v="372"/>
    <s v="RNC_ZTE_Madagascar(372)"/>
    <s v="11405"/>
    <x v="1"/>
    <n v="1"/>
    <n v="30.43"/>
    <n v="5.6393000000000004"/>
    <n v="99.83"/>
    <n v="99.76"/>
    <n v="99.74"/>
    <n v="99.74"/>
    <n v="0.06"/>
    <n v="0.39"/>
    <n v="0"/>
    <n v="0"/>
    <n v="0"/>
    <n v="0"/>
    <n v="0"/>
    <n v="0"/>
    <n v="2.0000000000000001E-4"/>
    <n v="0.57730000000000004"/>
    <n v="0.13780000000000001"/>
    <n v="0.19400000000000001"/>
    <n v="6.9999999999999999E-4"/>
    <n v="-10.75"/>
    <n v="-97.09"/>
    <n v="99.92"/>
    <n v="87.5"/>
    <n v="96.15"/>
    <n v="0.99990000000000001"/>
    <n v="4.0000000000000001E-3"/>
    <n v="373"/>
    <n v="0"/>
    <n v="0"/>
    <n v="0"/>
    <n v="28"/>
    <n v="1"/>
    <n v="6.1699999999999998E-2"/>
    <n v="789501600"/>
    <n v="63.538400000000003"/>
    <n v="289.34640000000002"/>
    <n v="1291.0533"/>
    <n v="100"/>
  </r>
  <r>
    <x v="9"/>
    <s v="2025-12-18 20:00:00"/>
    <s v="1 hour"/>
    <s v="372"/>
    <s v="RNC_ZTE_Madagascar(372)"/>
    <s v="372"/>
    <s v="RNC_ZTE_Madagascar(372)"/>
    <s v="11651"/>
    <x v="2"/>
    <n v="0.86360000000000003"/>
    <n v="44.92"/>
    <n v="3.9439000000000002"/>
    <n v="99.76"/>
    <n v="99.81"/>
    <n v="99.81"/>
    <n v="99.81"/>
    <n v="0.28000000000000003"/>
    <n v="0.28000000000000003"/>
    <n v="0"/>
    <n v="0"/>
    <n v="0"/>
    <n v="0"/>
    <n v="0"/>
    <n v="0"/>
    <n v="1.1000000000000001E-3"/>
    <n v="0.44429999999999997"/>
    <n v="0.1066"/>
    <n v="0.2293"/>
    <n v="1.1000000000000001E-3"/>
    <n v="-9.02"/>
    <n v="-93.99"/>
    <n v="99.93"/>
    <n v="75"/>
    <n v="100"/>
    <n v="0.99990000000000001"/>
    <n v="1.1000000000000001E-3"/>
    <n v="282"/>
    <n v="0"/>
    <n v="0"/>
    <n v="0"/>
    <n v="21"/>
    <n v="1"/>
    <n v="4.2200000000000001E-2"/>
    <n v="789504546"/>
    <n v="49.513300000000001"/>
    <n v="197.41309999999999"/>
    <n v="897.97"/>
    <n v="86.36"/>
  </r>
  <r>
    <x v="9"/>
    <s v="2025-12-18 20:00:00"/>
    <s v="1 hour"/>
    <s v="372"/>
    <s v="RNC_ZTE_Madagascar(372)"/>
    <s v="372"/>
    <s v="RNC_ZTE_Madagascar(372)"/>
    <s v="61102"/>
    <x v="3"/>
    <n v="1"/>
    <n v="30.54"/>
    <n v="3.7383000000000002"/>
    <n v="99.58"/>
    <n v="99.9"/>
    <n v="99.89"/>
    <n v="99.89"/>
    <n v="0"/>
    <n v="0.18"/>
    <n v="0"/>
    <n v="0"/>
    <n v="0"/>
    <n v="0"/>
    <n v="0"/>
    <n v="0"/>
    <n v="0"/>
    <n v="0.41299999999999998"/>
    <n v="0.1108"/>
    <n v="0.2447"/>
    <n v="5.9999999999999995E-4"/>
    <n v="-9.34"/>
    <n v="-98.58"/>
    <n v="99.97"/>
    <n v="92.86"/>
    <n v="100"/>
    <n v="1"/>
    <n v="6.9999999999999999E-4"/>
    <n v="244"/>
    <n v="0"/>
    <n v="0"/>
    <n v="0"/>
    <n v="39"/>
    <n v="1"/>
    <n v="4.48E-2"/>
    <n v="789501600"/>
    <n v="47.438400000000001"/>
    <n v="202.0702"/>
    <n v="838.89449999999999"/>
    <n v="100"/>
  </r>
  <r>
    <x v="10"/>
    <s v="2025-12-18 21:00:00"/>
    <s v="1 hour"/>
    <s v="372"/>
    <s v="RNC_ZTE_Madagascar(372)"/>
    <s v="372"/>
    <s v="RNC_ZTE_Madagascar(372)"/>
    <s v="11287"/>
    <x v="0"/>
    <n v="1"/>
    <n v="49.71"/>
    <n v="6.6833999999999998"/>
    <n v="99.89"/>
    <n v="99.8"/>
    <n v="99.76"/>
    <n v="99.76"/>
    <n v="0.12"/>
    <n v="0.25"/>
    <n v="0"/>
    <n v="0"/>
    <n v="0"/>
    <n v="0"/>
    <n v="0"/>
    <n v="0"/>
    <n v="0"/>
    <n v="0.65600000000000003"/>
    <n v="0.39350000000000002"/>
    <n v="0.2412"/>
    <n v="5.9999999999999995E-4"/>
    <n v="-11.25"/>
    <n v="-93.47"/>
    <n v="99.97"/>
    <n v="66.67"/>
    <m/>
    <n v="0.99980000000000002"/>
    <n v="1E-4"/>
    <n v="346"/>
    <n v="0"/>
    <n v="0"/>
    <n v="0"/>
    <n v="34"/>
    <n v="1"/>
    <n v="0.1676"/>
    <n v="789501600"/>
    <n v="84.458399999999997"/>
    <n v="361.32600000000002"/>
    <n v="1505.3905"/>
    <n v="100"/>
  </r>
  <r>
    <x v="10"/>
    <s v="2025-12-18 21:00:00"/>
    <s v="1 hour"/>
    <s v="372"/>
    <s v="RNC_ZTE_Madagascar(372)"/>
    <s v="372"/>
    <s v="RNC_ZTE_Madagascar(372)"/>
    <s v="11405"/>
    <x v="1"/>
    <n v="1"/>
    <n v="26.41"/>
    <n v="5.6791999999999998"/>
    <n v="99.81"/>
    <n v="99.7"/>
    <n v="99.7"/>
    <n v="99.7"/>
    <n v="7.0000000000000007E-2"/>
    <n v="0.46"/>
    <n v="0"/>
    <n v="0"/>
    <n v="0"/>
    <n v="0"/>
    <n v="0"/>
    <n v="0"/>
    <n v="0"/>
    <n v="0.59989999999999999"/>
    <n v="0.13619999999999999"/>
    <n v="0.1923"/>
    <n v="6.9999999999999999E-4"/>
    <n v="-10.73"/>
    <n v="-96.74"/>
    <n v="99.89"/>
    <n v="100"/>
    <n v="95.65"/>
    <n v="0.99990000000000001"/>
    <n v="1.1999999999999999E-3"/>
    <n v="374"/>
    <n v="0"/>
    <n v="0"/>
    <n v="0"/>
    <n v="30"/>
    <n v="1"/>
    <n v="6.6100000000000006E-2"/>
    <n v="789501600"/>
    <n v="71.575100000000006"/>
    <n v="362.4932"/>
    <n v="1246.4902999999999"/>
    <n v="100"/>
  </r>
  <r>
    <x v="10"/>
    <s v="2025-12-18 21:00:00"/>
    <s v="1 hour"/>
    <s v="372"/>
    <s v="RNC_ZTE_Madagascar(372)"/>
    <s v="372"/>
    <s v="RNC_ZTE_Madagascar(372)"/>
    <s v="11651"/>
    <x v="2"/>
    <n v="1"/>
    <n v="50.45"/>
    <n v="5.0194999999999999"/>
    <n v="99.75"/>
    <n v="99.83"/>
    <n v="99.84"/>
    <n v="99.84"/>
    <n v="0.04"/>
    <n v="0.33"/>
    <n v="0"/>
    <n v="0"/>
    <n v="0"/>
    <n v="0"/>
    <n v="0"/>
    <n v="0"/>
    <n v="5.0000000000000001E-4"/>
    <n v="0.45550000000000002"/>
    <n v="0.1285"/>
    <n v="0.25069999999999998"/>
    <n v="8.9999999999999998E-4"/>
    <n v="-9.08"/>
    <n v="-94.2"/>
    <n v="99.93"/>
    <n v="100"/>
    <n v="100"/>
    <n v="0.99970000000000003"/>
    <n v="1.6000000000000001E-3"/>
    <n v="283"/>
    <n v="0"/>
    <n v="0"/>
    <n v="0"/>
    <n v="26"/>
    <n v="1"/>
    <n v="5.2400000000000002E-2"/>
    <n v="789501600"/>
    <n v="60.296799999999998"/>
    <n v="244.90770000000001"/>
    <n v="1154.5666000000001"/>
    <n v="100"/>
  </r>
  <r>
    <x v="10"/>
    <s v="2025-12-18 21:00:00"/>
    <s v="1 hour"/>
    <s v="372"/>
    <s v="RNC_ZTE_Madagascar(372)"/>
    <s v="372"/>
    <s v="RNC_ZTE_Madagascar(372)"/>
    <s v="61102"/>
    <x v="3"/>
    <n v="1"/>
    <n v="27.92"/>
    <n v="4.3666"/>
    <n v="99.88"/>
    <n v="99.86"/>
    <n v="99.84"/>
    <n v="99.84"/>
    <n v="0.06"/>
    <n v="0.37"/>
    <n v="0"/>
    <n v="0"/>
    <n v="0"/>
    <n v="0"/>
    <n v="0"/>
    <n v="0"/>
    <n v="0"/>
    <n v="0.43619999999999998"/>
    <n v="0.1076"/>
    <n v="0.23810000000000001"/>
    <n v="5.9999999999999995E-4"/>
    <n v="-9.2100000000000009"/>
    <n v="-98.56"/>
    <n v="99.94"/>
    <n v="100"/>
    <n v="100"/>
    <n v="0.99990000000000001"/>
    <n v="1E-4"/>
    <n v="128"/>
    <n v="0"/>
    <n v="0"/>
    <n v="0"/>
    <n v="22"/>
    <n v="1"/>
    <n v="4.2299999999999997E-2"/>
    <n v="789501600"/>
    <n v="45.313400000000001"/>
    <n v="209.11619999999999"/>
    <n v="1007.2737"/>
    <n v="100"/>
  </r>
  <r>
    <x v="11"/>
    <s v="2025-12-18 22:00:00"/>
    <s v="1 hour"/>
    <s v="372"/>
    <s v="RNC_ZTE_Madagascar(372)"/>
    <s v="372"/>
    <s v="RNC_ZTE_Madagascar(372)"/>
    <s v="11287"/>
    <x v="0"/>
    <n v="1"/>
    <n v="44.3"/>
    <n v="7.8273999999999999"/>
    <n v="99.89"/>
    <n v="99.62"/>
    <n v="99.6"/>
    <n v="99.6"/>
    <n v="0.17"/>
    <n v="0.15"/>
    <n v="0"/>
    <n v="0"/>
    <n v="0"/>
    <n v="0"/>
    <n v="0"/>
    <n v="0"/>
    <n v="1E-4"/>
    <n v="0.66749999999999998"/>
    <n v="0.39839999999999998"/>
    <n v="0.22450000000000001"/>
    <n v="4.0000000000000002E-4"/>
    <n v="-11.25"/>
    <n v="-94.29"/>
    <n v="99.94"/>
    <n v="40"/>
    <n v="100"/>
    <n v="0.99970000000000003"/>
    <n v="4.0000000000000002E-4"/>
    <n v="313"/>
    <n v="0"/>
    <n v="0"/>
    <n v="0"/>
    <n v="29"/>
    <n v="1"/>
    <n v="0.1772"/>
    <n v="789501600"/>
    <n v="77.2517"/>
    <n v="320.68209999999999"/>
    <n v="1861.681"/>
    <n v="100"/>
  </r>
  <r>
    <x v="11"/>
    <s v="2025-12-18 22:00:00"/>
    <s v="1 hour"/>
    <s v="372"/>
    <s v="RNC_ZTE_Madagascar(372)"/>
    <s v="372"/>
    <s v="RNC_ZTE_Madagascar(372)"/>
    <s v="11405"/>
    <x v="1"/>
    <n v="1"/>
    <n v="28.02"/>
    <n v="5.7290000000000001"/>
    <n v="99.66"/>
    <n v="99.7"/>
    <n v="99.67"/>
    <n v="99.67"/>
    <n v="0.17"/>
    <n v="0.39"/>
    <n v="0"/>
    <n v="0"/>
    <n v="0"/>
    <n v="0"/>
    <n v="0"/>
    <n v="0"/>
    <n v="1E-4"/>
    <n v="0.56320000000000003"/>
    <n v="0.14380000000000001"/>
    <n v="0.18340000000000001"/>
    <n v="5.0000000000000001E-4"/>
    <n v="-10.74"/>
    <n v="-97.18"/>
    <n v="99.96"/>
    <n v="93.33"/>
    <n v="92"/>
    <n v="1"/>
    <n v="1.9E-3"/>
    <n v="645"/>
    <n v="0"/>
    <n v="0"/>
    <n v="0"/>
    <n v="28"/>
    <n v="1"/>
    <n v="7.0400000000000004E-2"/>
    <n v="789501600"/>
    <n v="70.063400000000001"/>
    <n v="388.1549"/>
    <n v="1229.4152999999999"/>
    <n v="100"/>
  </r>
  <r>
    <x v="11"/>
    <s v="2025-12-18 22:00:00"/>
    <s v="1 hour"/>
    <s v="372"/>
    <s v="RNC_ZTE_Madagascar(372)"/>
    <s v="372"/>
    <s v="RNC_ZTE_Madagascar(372)"/>
    <s v="11651"/>
    <x v="2"/>
    <n v="1"/>
    <n v="40.090000000000003"/>
    <n v="5.7286999999999999"/>
    <n v="99.9"/>
    <n v="99.85"/>
    <n v="99.85"/>
    <n v="99.85"/>
    <n v="0"/>
    <n v="0.36"/>
    <n v="0"/>
    <n v="0"/>
    <n v="0"/>
    <n v="0"/>
    <n v="0"/>
    <n v="0"/>
    <n v="6.9999999999999999E-4"/>
    <n v="0.48849999999999999"/>
    <n v="0.1404"/>
    <n v="0.23319999999999999"/>
    <n v="1.4E-3"/>
    <n v="-9.24"/>
    <n v="-94.6"/>
    <n v="99.91"/>
    <n v="100"/>
    <n v="66.67"/>
    <n v="1"/>
    <n v="1.6999999999999999E-3"/>
    <n v="235"/>
    <n v="0"/>
    <n v="0"/>
    <n v="0"/>
    <n v="20"/>
    <n v="1"/>
    <n v="5.3100000000000001E-2"/>
    <n v="789501600"/>
    <n v="61.023299999999999"/>
    <n v="221.3614"/>
    <n v="1369.6251"/>
    <n v="100"/>
  </r>
  <r>
    <x v="11"/>
    <s v="2025-12-18 22:00:00"/>
    <s v="1 hour"/>
    <s v="372"/>
    <s v="RNC_ZTE_Madagascar(372)"/>
    <s v="372"/>
    <s v="RNC_ZTE_Madagascar(372)"/>
    <s v="61102"/>
    <x v="3"/>
    <n v="1"/>
    <n v="22.24"/>
    <n v="4.3010000000000002"/>
    <n v="99.67"/>
    <n v="99.75"/>
    <n v="99.75"/>
    <n v="99.75"/>
    <n v="0"/>
    <n v="0.27"/>
    <n v="0"/>
    <n v="0"/>
    <n v="0"/>
    <n v="0"/>
    <n v="0"/>
    <n v="0"/>
    <n v="0"/>
    <n v="0.43159999999999998"/>
    <n v="0.1106"/>
    <n v="0.22270000000000001"/>
    <n v="5.0000000000000001E-4"/>
    <n v="-9.0299999999999994"/>
    <n v="-98.89"/>
    <n v="99.96"/>
    <n v="100"/>
    <n v="100"/>
    <n v="0.99960000000000004"/>
    <n v="2.9999999999999997E-4"/>
    <n v="143"/>
    <n v="0"/>
    <n v="0"/>
    <n v="0"/>
    <n v="27"/>
    <n v="1"/>
    <n v="4.3099999999999999E-2"/>
    <n v="789501600"/>
    <n v="44.34"/>
    <n v="242.98609999999999"/>
    <n v="967.23540000000003"/>
    <n v="100"/>
  </r>
  <r>
    <x v="12"/>
    <s v="2025-12-18 23:00:00"/>
    <s v="1 hour"/>
    <s v="372"/>
    <s v="RNC_ZTE_Madagascar(372)"/>
    <s v="372"/>
    <s v="RNC_ZTE_Madagascar(372)"/>
    <s v="11287"/>
    <x v="0"/>
    <n v="1"/>
    <n v="23.25"/>
    <n v="7.9053000000000004"/>
    <n v="99.75"/>
    <n v="99.5"/>
    <n v="99.48"/>
    <n v="99.48"/>
    <n v="0.17"/>
    <n v="0.23"/>
    <n v="0"/>
    <n v="0"/>
    <n v="0"/>
    <n v="0"/>
    <n v="0"/>
    <n v="0"/>
    <n v="0"/>
    <n v="0.5867"/>
    <n v="0.4047"/>
    <n v="0.19400000000000001"/>
    <n v="2.9999999999999997E-4"/>
    <n v="-10.49"/>
    <n v="-94.67"/>
    <n v="99.9"/>
    <m/>
    <m/>
    <n v="0.99980000000000002"/>
    <n v="1E-4"/>
    <n v="278"/>
    <n v="0"/>
    <n v="0"/>
    <n v="0"/>
    <n v="28"/>
    <n v="1"/>
    <n v="0.16800000000000001"/>
    <n v="789501600"/>
    <n v="66.931700000000006"/>
    <n v="337.91250000000002"/>
    <n v="1869.3696"/>
    <n v="100"/>
  </r>
  <r>
    <x v="12"/>
    <s v="2025-12-18 23:00:00"/>
    <s v="1 hour"/>
    <s v="372"/>
    <s v="RNC_ZTE_Madagascar(372)"/>
    <s v="372"/>
    <s v="RNC_ZTE_Madagascar(372)"/>
    <s v="11405"/>
    <x v="1"/>
    <n v="1"/>
    <n v="19.86"/>
    <n v="6.3108000000000004"/>
    <n v="99.52"/>
    <n v="99.82"/>
    <n v="99.83"/>
    <n v="99.84"/>
    <n v="0.12"/>
    <n v="0.38"/>
    <n v="0"/>
    <n v="0"/>
    <n v="0"/>
    <n v="0"/>
    <n v="0"/>
    <n v="0"/>
    <n v="0"/>
    <n v="0.55830000000000002"/>
    <n v="0.14760000000000001"/>
    <n v="0.156"/>
    <n v="5.0000000000000001E-4"/>
    <n v="-10.52"/>
    <n v="-97.74"/>
    <n v="99.92"/>
    <n v="100"/>
    <n v="100"/>
    <n v="0.99980000000000002"/>
    <n v="3.5000000000000001E-3"/>
    <n v="497"/>
    <n v="0"/>
    <n v="0"/>
    <n v="0"/>
    <n v="20"/>
    <n v="1"/>
    <n v="6.9099999999999995E-2"/>
    <n v="789501600"/>
    <n v="61.060099999999998"/>
    <n v="308.20659999999998"/>
    <n v="1477.8898999999999"/>
    <n v="100"/>
  </r>
  <r>
    <x v="12"/>
    <s v="2025-12-18 23:00:00"/>
    <s v="1 hour"/>
    <s v="372"/>
    <s v="RNC_ZTE_Madagascar(372)"/>
    <s v="372"/>
    <s v="RNC_ZTE_Madagascar(372)"/>
    <s v="11651"/>
    <x v="2"/>
    <n v="1"/>
    <n v="25.74"/>
    <n v="5.7633000000000001"/>
    <n v="99.72"/>
    <n v="99.93"/>
    <n v="99.93"/>
    <n v="99.93"/>
    <n v="0"/>
    <n v="0.22"/>
    <n v="0"/>
    <n v="0"/>
    <n v="0"/>
    <n v="0"/>
    <n v="0"/>
    <n v="0"/>
    <n v="5.0000000000000001E-4"/>
    <n v="0.4274"/>
    <n v="0.1303"/>
    <n v="0.20250000000000001"/>
    <n v="6.9999999999999999E-4"/>
    <n v="-8.14"/>
    <n v="-94.89"/>
    <n v="99.96"/>
    <n v="100"/>
    <n v="100"/>
    <n v="1"/>
    <n v="6.3E-3"/>
    <n v="211"/>
    <n v="0"/>
    <n v="0"/>
    <n v="0"/>
    <n v="20"/>
    <n v="1"/>
    <n v="4.9099999999999998E-2"/>
    <n v="789501600"/>
    <n v="47.3917"/>
    <n v="223.95410000000001"/>
    <n v="1382.9422999999999"/>
    <n v="100"/>
  </r>
  <r>
    <x v="12"/>
    <s v="2025-12-18 23:00:00"/>
    <s v="1 hour"/>
    <s v="372"/>
    <s v="RNC_ZTE_Madagascar(372)"/>
    <s v="372"/>
    <s v="RNC_ZTE_Madagascar(372)"/>
    <s v="61102"/>
    <x v="3"/>
    <n v="1"/>
    <n v="20.02"/>
    <n v="3.6539000000000001"/>
    <n v="99.76"/>
    <n v="99.82"/>
    <n v="99.81"/>
    <n v="99.81"/>
    <n v="0"/>
    <n v="0.09"/>
    <n v="0"/>
    <n v="0"/>
    <n v="0"/>
    <n v="0"/>
    <n v="0"/>
    <n v="0"/>
    <n v="0"/>
    <n v="0.35949999999999999"/>
    <n v="0.10979999999999999"/>
    <n v="0.1938"/>
    <n v="4.0000000000000002E-4"/>
    <n v="-8.19"/>
    <n v="-99.31"/>
    <n v="99.95"/>
    <n v="100"/>
    <n v="75"/>
    <n v="0.99980000000000002"/>
    <n v="1.4E-3"/>
    <n v="160"/>
    <n v="0"/>
    <n v="0"/>
    <n v="0"/>
    <n v="25"/>
    <n v="1"/>
    <n v="4.2500000000000003E-2"/>
    <n v="789501600"/>
    <n v="37.715000000000003"/>
    <n v="179.27269999999999"/>
    <n v="844.34040000000005"/>
    <n v="100"/>
  </r>
  <r>
    <x v="13"/>
    <s v="2025-12-19 00:00:00"/>
    <s v="1 hour"/>
    <s v="372"/>
    <s v="RNC_ZTE_Madagascar(372)"/>
    <s v="372"/>
    <s v="RNC_ZTE_Madagascar(372)"/>
    <s v="11287"/>
    <x v="0"/>
    <n v="1"/>
    <n v="13.72"/>
    <n v="7.3548999999999998"/>
    <n v="99.83"/>
    <n v="99.79"/>
    <n v="99.79"/>
    <n v="99.79"/>
    <n v="0.19"/>
    <n v="0.12"/>
    <n v="0"/>
    <n v="0"/>
    <n v="0"/>
    <n v="0"/>
    <n v="0"/>
    <n v="0"/>
    <n v="0"/>
    <n v="0.51559999999999995"/>
    <n v="0.33879999999999999"/>
    <n v="0.1583"/>
    <n v="2.0000000000000001E-4"/>
    <n v="-9.86"/>
    <n v="-96.15"/>
    <n v="99.96"/>
    <m/>
    <m/>
    <n v="1"/>
    <n v="0"/>
    <n v="314"/>
    <n v="0"/>
    <n v="0"/>
    <n v="0"/>
    <n v="26"/>
    <n v="1"/>
    <n v="0.13619999999999999"/>
    <n v="789501600"/>
    <n v="51.068399999999997"/>
    <n v="241.20150000000001"/>
    <n v="1810.2588000000001"/>
    <n v="100"/>
  </r>
  <r>
    <x v="13"/>
    <s v="2025-12-19 00:00:00"/>
    <s v="1 hour"/>
    <s v="372"/>
    <s v="RNC_ZTE_Madagascar(372)"/>
    <s v="372"/>
    <s v="RNC_ZTE_Madagascar(372)"/>
    <s v="11405"/>
    <x v="1"/>
    <n v="1"/>
    <n v="13.2"/>
    <n v="5.0481999999999996"/>
    <n v="100"/>
    <n v="99.58"/>
    <n v="99.59"/>
    <n v="99.59"/>
    <n v="0"/>
    <n v="0.28999999999999998"/>
    <n v="0"/>
    <n v="0"/>
    <n v="0"/>
    <n v="0"/>
    <n v="0"/>
    <n v="0"/>
    <n v="0"/>
    <n v="0.44719999999999999"/>
    <n v="0.10829999999999999"/>
    <n v="0.121"/>
    <n v="6.9999999999999999E-4"/>
    <n v="-9.59"/>
    <n v="-98.76"/>
    <n v="99.76"/>
    <n v="100"/>
    <n v="100"/>
    <n v="1"/>
    <n v="2.9999999999999997E-4"/>
    <n v="493"/>
    <n v="0"/>
    <n v="0"/>
    <n v="0"/>
    <n v="23"/>
    <n v="1"/>
    <n v="4.9399999999999999E-2"/>
    <n v="789501600"/>
    <n v="47.8917"/>
    <n v="235.38050000000001"/>
    <n v="1187.7696000000001"/>
    <n v="100"/>
  </r>
  <r>
    <x v="13"/>
    <s v="2025-12-19 00:00:00"/>
    <s v="1 hour"/>
    <s v="372"/>
    <s v="RNC_ZTE_Madagascar(372)"/>
    <s v="372"/>
    <s v="RNC_ZTE_Madagascar(372)"/>
    <s v="11651"/>
    <x v="2"/>
    <n v="1"/>
    <n v="17.32"/>
    <n v="6.6191000000000004"/>
    <n v="100"/>
    <n v="99.93"/>
    <n v="99.92"/>
    <n v="99.92"/>
    <n v="0"/>
    <n v="0.09"/>
    <n v="0"/>
    <n v="0"/>
    <n v="0"/>
    <n v="0"/>
    <n v="0"/>
    <n v="0"/>
    <n v="1.6000000000000001E-3"/>
    <n v="0.34849999999999998"/>
    <n v="9.8000000000000004E-2"/>
    <n v="0.16489999999999999"/>
    <n v="1E-3"/>
    <n v="-7.09"/>
    <n v="-96.5"/>
    <n v="99.95"/>
    <n v="100"/>
    <m/>
    <n v="1"/>
    <n v="9.4000000000000004E-3"/>
    <n v="206"/>
    <n v="0"/>
    <n v="0"/>
    <n v="0"/>
    <n v="16"/>
    <n v="1"/>
    <n v="3.5400000000000001E-2"/>
    <n v="789501600"/>
    <n v="37.416699999999999"/>
    <n v="174.45009999999999"/>
    <n v="1658.1873000000001"/>
    <n v="100"/>
  </r>
  <r>
    <x v="13"/>
    <s v="2025-12-19 00:00:00"/>
    <s v="1 hour"/>
    <s v="372"/>
    <s v="RNC_ZTE_Madagascar(372)"/>
    <s v="372"/>
    <s v="RNC_ZTE_Madagascar(372)"/>
    <s v="61102"/>
    <x v="3"/>
    <n v="1"/>
    <n v="13.08"/>
    <n v="3.7029000000000001"/>
    <n v="99.63"/>
    <n v="99.79"/>
    <n v="99.79"/>
    <n v="99.79"/>
    <n v="0"/>
    <n v="0.12"/>
    <n v="0"/>
    <n v="0"/>
    <n v="0"/>
    <n v="0"/>
    <n v="0"/>
    <n v="0"/>
    <n v="0"/>
    <n v="0.31730000000000003"/>
    <n v="8.4500000000000006E-2"/>
    <n v="0.15790000000000001"/>
    <n v="4.0000000000000002E-4"/>
    <n v="-7.61"/>
    <n v="-100.21"/>
    <n v="99.97"/>
    <n v="87.5"/>
    <m/>
    <n v="1"/>
    <n v="5.9999999999999995E-4"/>
    <n v="170"/>
    <n v="0"/>
    <n v="0"/>
    <n v="0"/>
    <n v="23"/>
    <n v="1"/>
    <n v="3.2500000000000001E-2"/>
    <n v="789501600"/>
    <n v="27.7483"/>
    <n v="147.1712"/>
    <n v="879.71040000000005"/>
    <n v="100"/>
  </r>
  <r>
    <x v="14"/>
    <s v="2025-12-19 01:00:00"/>
    <s v="1 hour"/>
    <s v="372"/>
    <s v="RNC_ZTE_Madagascar(372)"/>
    <s v="372"/>
    <s v="RNC_ZTE_Madagascar(372)"/>
    <s v="11287"/>
    <x v="0"/>
    <n v="1"/>
    <n v="10.96"/>
    <n v="8.6456999999999997"/>
    <n v="100"/>
    <n v="99.42"/>
    <n v="99.39"/>
    <n v="99.39"/>
    <n v="0.42"/>
    <n v="0.15"/>
    <n v="0"/>
    <n v="0"/>
    <n v="0"/>
    <n v="0"/>
    <n v="0"/>
    <n v="0"/>
    <n v="0"/>
    <n v="0.46810000000000002"/>
    <n v="0.28439999999999999"/>
    <n v="0.13569999999999999"/>
    <n v="2.0000000000000001E-4"/>
    <n v="-9.23"/>
    <n v="-96.07"/>
    <n v="99.95"/>
    <n v="50"/>
    <m/>
    <n v="1"/>
    <n v="1E-4"/>
    <n v="490"/>
    <n v="0"/>
    <n v="0"/>
    <n v="0"/>
    <n v="34"/>
    <n v="1"/>
    <n v="0.12230000000000001"/>
    <n v="789501600"/>
    <n v="41.810099999999998"/>
    <n v="216.2105"/>
    <n v="2201.6858999999999"/>
    <n v="100"/>
  </r>
  <r>
    <x v="14"/>
    <s v="2025-12-19 01:00:00"/>
    <s v="1 hour"/>
    <s v="372"/>
    <s v="RNC_ZTE_Madagascar(372)"/>
    <s v="372"/>
    <s v="RNC_ZTE_Madagascar(372)"/>
    <s v="11405"/>
    <x v="1"/>
    <n v="1"/>
    <n v="4.93"/>
    <n v="5.1283000000000003"/>
    <n v="100"/>
    <n v="99.28"/>
    <n v="99.3"/>
    <n v="99.31"/>
    <n v="0"/>
    <n v="0.42"/>
    <n v="0"/>
    <n v="0"/>
    <n v="0"/>
    <n v="0"/>
    <n v="0"/>
    <n v="0"/>
    <n v="0"/>
    <n v="0.4194"/>
    <n v="9.7100000000000006E-2"/>
    <n v="0.1033"/>
    <n v="5.0000000000000001E-4"/>
    <n v="-9.36"/>
    <n v="-99.79"/>
    <n v="99.93"/>
    <n v="100"/>
    <m/>
    <n v="1"/>
    <n v="7.4000000000000003E-3"/>
    <n v="416"/>
    <n v="0"/>
    <n v="0"/>
    <n v="0"/>
    <n v="34"/>
    <n v="1"/>
    <n v="4.3499999999999997E-2"/>
    <n v="789501600"/>
    <n v="37.933399999999999"/>
    <n v="189.09399999999999"/>
    <n v="1260.5527999999999"/>
    <n v="100"/>
  </r>
  <r>
    <x v="14"/>
    <s v="2025-12-19 01:00:00"/>
    <s v="1 hour"/>
    <s v="372"/>
    <s v="RNC_ZTE_Madagascar(372)"/>
    <s v="372"/>
    <s v="RNC_ZTE_Madagascar(372)"/>
    <s v="11651"/>
    <x v="2"/>
    <n v="1"/>
    <n v="7.59"/>
    <n v="2.7294999999999998"/>
    <n v="100"/>
    <n v="99.62"/>
    <n v="99.62"/>
    <n v="99.62"/>
    <n v="0"/>
    <n v="0.19"/>
    <n v="0"/>
    <n v="0"/>
    <n v="0"/>
    <n v="0"/>
    <n v="0"/>
    <n v="0"/>
    <n v="0"/>
    <n v="0.192"/>
    <n v="8.6699999999999999E-2"/>
    <n v="0.14119999999999999"/>
    <n v="1.1999999999999999E-3"/>
    <n v="-5.46"/>
    <n v="-96.45"/>
    <n v="99.94"/>
    <n v="100"/>
    <m/>
    <n v="1"/>
    <n v="6.9999999999999999E-4"/>
    <n v="243"/>
    <n v="0"/>
    <n v="0"/>
    <n v="0"/>
    <n v="27"/>
    <n v="0.99990000000000001"/>
    <n v="3.2500000000000001E-2"/>
    <n v="789501600"/>
    <n v="27.871700000000001"/>
    <n v="91.699600000000004"/>
    <n v="665.08609999999999"/>
    <n v="100"/>
  </r>
  <r>
    <x v="14"/>
    <s v="2025-12-19 01:00:00"/>
    <s v="1 hour"/>
    <s v="372"/>
    <s v="RNC_ZTE_Madagascar(372)"/>
    <s v="372"/>
    <s v="RNC_ZTE_Madagascar(372)"/>
    <s v="61102"/>
    <x v="3"/>
    <n v="1"/>
    <n v="5.21"/>
    <n v="2.9066999999999998"/>
    <n v="99.57"/>
    <n v="99.36"/>
    <n v="99.35"/>
    <n v="99.35"/>
    <n v="0"/>
    <n v="0.22"/>
    <n v="0"/>
    <n v="0"/>
    <n v="0"/>
    <n v="0"/>
    <n v="0"/>
    <n v="0"/>
    <n v="0"/>
    <n v="0.21579999999999999"/>
    <n v="6.2700000000000006E-2"/>
    <n v="0.1348"/>
    <n v="2.9999999999999997E-4"/>
    <n v="-6.15"/>
    <n v="-100.71"/>
    <n v="99.95"/>
    <n v="100"/>
    <m/>
    <n v="0.86119999999999997"/>
    <n v="5.0000000000000001E-4"/>
    <n v="149"/>
    <n v="0"/>
    <n v="0"/>
    <n v="0"/>
    <n v="26"/>
    <n v="1"/>
    <n v="2.3800000000000002E-2"/>
    <n v="789501600"/>
    <n v="18.331700000000001"/>
    <n v="81.636799999999994"/>
    <n v="732.34580000000005"/>
    <n v="100"/>
  </r>
  <r>
    <x v="15"/>
    <s v="2025-12-19 02:00:00"/>
    <s v="1 hour"/>
    <s v="372"/>
    <s v="RNC_ZTE_Madagascar(372)"/>
    <s v="372"/>
    <s v="RNC_ZTE_Madagascar(372)"/>
    <s v="11287"/>
    <x v="0"/>
    <n v="1"/>
    <n v="4.45"/>
    <n v="5.5278"/>
    <n v="100"/>
    <n v="99.82"/>
    <n v="99.82"/>
    <n v="99.82"/>
    <n v="0"/>
    <n v="0.1"/>
    <n v="0"/>
    <n v="0"/>
    <n v="0"/>
    <n v="0"/>
    <n v="0"/>
    <n v="0"/>
    <n v="0"/>
    <n v="0.32490000000000002"/>
    <n v="0.26079999999999998"/>
    <n v="9.69E-2"/>
    <n v="1E-4"/>
    <n v="-7.17"/>
    <n v="-97.08"/>
    <n v="99.97"/>
    <m/>
    <m/>
    <n v="1"/>
    <n v="0"/>
    <n v="465"/>
    <n v="0"/>
    <n v="0"/>
    <n v="0"/>
    <n v="12"/>
    <n v="1"/>
    <n v="9.6500000000000002E-2"/>
    <n v="789501600"/>
    <n v="30.843399999999999"/>
    <n v="168.7587"/>
    <n v="1346.5376000000001"/>
    <n v="100"/>
  </r>
  <r>
    <x v="15"/>
    <s v="2025-12-19 02:00:00"/>
    <s v="1 hour"/>
    <s v="372"/>
    <s v="RNC_ZTE_Madagascar(372)"/>
    <s v="372"/>
    <s v="RNC_ZTE_Madagascar(372)"/>
    <s v="11405"/>
    <x v="1"/>
    <n v="1"/>
    <n v="0.96"/>
    <n v="3.2092999999999998"/>
    <n v="100"/>
    <n v="99.57"/>
    <n v="99.58"/>
    <n v="99.58"/>
    <n v="0"/>
    <n v="0.15"/>
    <n v="0"/>
    <n v="0"/>
    <n v="0"/>
    <n v="0"/>
    <n v="0"/>
    <n v="0"/>
    <n v="0"/>
    <n v="0.25430000000000003"/>
    <n v="7.5499999999999998E-2"/>
    <n v="7.6399999999999996E-2"/>
    <n v="1E-4"/>
    <n v="-7.6"/>
    <n v="-101.23"/>
    <n v="99.86"/>
    <m/>
    <m/>
    <n v="1"/>
    <n v="6.1000000000000004E-3"/>
    <n v="308"/>
    <n v="0"/>
    <n v="0"/>
    <n v="0"/>
    <n v="18"/>
    <n v="1"/>
    <n v="3.0300000000000001E-2"/>
    <n v="789501600"/>
    <n v="29.715"/>
    <n v="150.63489999999999"/>
    <n v="752.20540000000005"/>
    <n v="100"/>
  </r>
  <r>
    <x v="15"/>
    <s v="2025-12-19 02:00:00"/>
    <s v="1 hour"/>
    <s v="372"/>
    <s v="RNC_ZTE_Madagascar(372)"/>
    <s v="372"/>
    <s v="RNC_ZTE_Madagascar(372)"/>
    <s v="11651"/>
    <x v="2"/>
    <n v="1"/>
    <n v="3.45"/>
    <n v="2.1951999999999998"/>
    <n v="100"/>
    <n v="99.4"/>
    <n v="99.4"/>
    <n v="99.39"/>
    <n v="0"/>
    <n v="0.16"/>
    <n v="0"/>
    <n v="0"/>
    <n v="0"/>
    <n v="0"/>
    <n v="0"/>
    <n v="0"/>
    <n v="0"/>
    <n v="0.1479"/>
    <n v="7.3200000000000001E-2"/>
    <n v="0.1014"/>
    <n v="5.9999999999999995E-4"/>
    <n v="-4.41"/>
    <n v="-97"/>
    <n v="99.94"/>
    <n v="100"/>
    <m/>
    <n v="1"/>
    <n v="0"/>
    <n v="120"/>
    <n v="0"/>
    <n v="0"/>
    <n v="0"/>
    <n v="42"/>
    <n v="0.99990000000000001"/>
    <n v="2.5700000000000001E-2"/>
    <n v="789501600"/>
    <n v="21.8567"/>
    <n v="79.804000000000002"/>
    <n v="534.06859999999995"/>
    <n v="100"/>
  </r>
  <r>
    <x v="15"/>
    <s v="2025-12-19 02:00:00"/>
    <s v="1 hour"/>
    <s v="372"/>
    <s v="RNC_ZTE_Madagascar(372)"/>
    <s v="372"/>
    <s v="RNC_ZTE_Madagascar(372)"/>
    <s v="61102"/>
    <x v="3"/>
    <n v="1"/>
    <n v="3.82"/>
    <n v="1.0620000000000001"/>
    <n v="100"/>
    <n v="99.89"/>
    <n v="99.9"/>
    <n v="99.9"/>
    <n v="0"/>
    <n v="0.2"/>
    <n v="0"/>
    <n v="0"/>
    <n v="0"/>
    <n v="0"/>
    <n v="0"/>
    <n v="0"/>
    <n v="0"/>
    <n v="0.1087"/>
    <n v="4.3900000000000002E-2"/>
    <n v="9.8000000000000004E-2"/>
    <n v="1E-4"/>
    <n v="-4.32"/>
    <n v="-101.29"/>
    <n v="99.86"/>
    <n v="100"/>
    <m/>
    <n v="0.96179999999999999"/>
    <n v="2.0000000000000001E-4"/>
    <n v="123"/>
    <n v="0"/>
    <n v="0"/>
    <n v="0"/>
    <n v="5"/>
    <n v="1"/>
    <n v="1.5299999999999999E-2"/>
    <n v="789501600"/>
    <n v="12.0801"/>
    <n v="67.479299999999995"/>
    <n v="233.6893"/>
    <n v="100"/>
  </r>
  <r>
    <x v="16"/>
    <s v="2025-12-19 03:00:00"/>
    <s v="1 hour"/>
    <s v="372"/>
    <s v="RNC_ZTE_Madagascar(372)"/>
    <s v="372"/>
    <s v="RNC_ZTE_Madagascar(372)"/>
    <s v="11287"/>
    <x v="0"/>
    <n v="1"/>
    <n v="3.23"/>
    <n v="7.3362999999999996"/>
    <n v="100"/>
    <n v="99.99"/>
    <n v="99.99"/>
    <n v="99.99"/>
    <n v="0.76"/>
    <n v="0.01"/>
    <n v="0"/>
    <n v="0"/>
    <n v="0"/>
    <n v="0"/>
    <n v="0"/>
    <n v="0"/>
    <n v="0"/>
    <n v="0.2959"/>
    <n v="0.18140000000000001"/>
    <n v="7.2099999999999997E-2"/>
    <n v="1E-4"/>
    <n v="-6.56"/>
    <n v="-97.47"/>
    <n v="99.98"/>
    <m/>
    <m/>
    <n v="1"/>
    <n v="0"/>
    <n v="428"/>
    <n v="0"/>
    <n v="0"/>
    <n v="0"/>
    <n v="4"/>
    <n v="1"/>
    <n v="6.4399999999999999E-2"/>
    <n v="789501600"/>
    <n v="21.236599999999999"/>
    <n v="165.88980000000001"/>
    <n v="1881.6449"/>
    <n v="100"/>
  </r>
  <r>
    <x v="16"/>
    <s v="2025-12-19 03:00:00"/>
    <s v="1 hour"/>
    <s v="372"/>
    <s v="RNC_ZTE_Madagascar(372)"/>
    <s v="372"/>
    <s v="RNC_ZTE_Madagascar(372)"/>
    <s v="11405"/>
    <x v="1"/>
    <n v="1"/>
    <n v="1.03"/>
    <n v="2.2467000000000001"/>
    <n v="100"/>
    <n v="99.78"/>
    <n v="99.77"/>
    <n v="99.77"/>
    <n v="0"/>
    <n v="0.19"/>
    <n v="0"/>
    <n v="0"/>
    <n v="0"/>
    <n v="0"/>
    <n v="0"/>
    <n v="0"/>
    <n v="0"/>
    <n v="0.2135"/>
    <n v="7.2099999999999997E-2"/>
    <n v="5.5399999999999998E-2"/>
    <n v="4.0000000000000002E-4"/>
    <n v="-6.75"/>
    <n v="-101.78"/>
    <n v="99.87"/>
    <n v="100"/>
    <m/>
    <n v="1"/>
    <n v="1E-4"/>
    <n v="324"/>
    <n v="0"/>
    <n v="0"/>
    <n v="0"/>
    <n v="14"/>
    <n v="1"/>
    <n v="3.0300000000000001E-2"/>
    <n v="789501600"/>
    <n v="23.3"/>
    <n v="97.652900000000002"/>
    <n v="518.19290000000001"/>
    <n v="100"/>
  </r>
  <r>
    <x v="16"/>
    <s v="2025-12-19 03:00:00"/>
    <s v="1 hour"/>
    <s v="372"/>
    <s v="RNC_ZTE_Madagascar(372)"/>
    <s v="372"/>
    <s v="RNC_ZTE_Madagascar(372)"/>
    <s v="11651"/>
    <x v="2"/>
    <n v="1"/>
    <n v="1.57"/>
    <n v="0.96360000000000001"/>
    <n v="100"/>
    <n v="99.81"/>
    <n v="99.81"/>
    <n v="99.81"/>
    <n v="0"/>
    <n v="0.17"/>
    <n v="0"/>
    <n v="0"/>
    <n v="0"/>
    <n v="0"/>
    <n v="0"/>
    <n v="0"/>
    <n v="0"/>
    <n v="0.1019"/>
    <n v="5.1299999999999998E-2"/>
    <n v="7.5499999999999998E-2"/>
    <n v="5.9999999999999995E-4"/>
    <n v="-3.5"/>
    <n v="-97.39"/>
    <n v="100"/>
    <n v="100"/>
    <m/>
    <n v="1"/>
    <n v="0"/>
    <n v="91"/>
    <n v="0"/>
    <n v="0"/>
    <n v="0"/>
    <n v="5"/>
    <n v="0.99990000000000001"/>
    <n v="1.9199999999999998E-2"/>
    <n v="789501600"/>
    <n v="14.845000000000001"/>
    <n v="40.6678"/>
    <n v="219.65729999999999"/>
    <n v="100"/>
  </r>
  <r>
    <x v="16"/>
    <s v="2025-12-19 03:00:00"/>
    <s v="1 hour"/>
    <s v="372"/>
    <s v="RNC_ZTE_Madagascar(372)"/>
    <s v="372"/>
    <s v="RNC_ZTE_Madagascar(372)"/>
    <s v="61102"/>
    <x v="3"/>
    <n v="1"/>
    <n v="0.98"/>
    <n v="0.69220000000000004"/>
    <n v="100"/>
    <n v="99.91"/>
    <n v="99.91"/>
    <n v="99.91"/>
    <n v="0"/>
    <n v="0.14000000000000001"/>
    <n v="0"/>
    <n v="0"/>
    <n v="0"/>
    <n v="0"/>
    <n v="0"/>
    <n v="0"/>
    <n v="0"/>
    <n v="9.2200000000000004E-2"/>
    <n v="3.1899999999999998E-2"/>
    <n v="7.1499999999999994E-2"/>
    <n v="1E-4"/>
    <n v="-3.81"/>
    <n v="-101.45"/>
    <n v="99.96"/>
    <n v="100"/>
    <m/>
    <n v="1"/>
    <n v="1E-4"/>
    <n v="116"/>
    <n v="0"/>
    <n v="0"/>
    <n v="0"/>
    <n v="5"/>
    <n v="1"/>
    <n v="1.0800000000000001E-2"/>
    <n v="789501600"/>
    <n v="8.4232999999999993"/>
    <n v="31.0898"/>
    <n v="160.58109999999999"/>
    <n v="100"/>
  </r>
  <r>
    <x v="17"/>
    <s v="2025-12-19 04:00:00"/>
    <s v="1 hour"/>
    <s v="372"/>
    <s v="RNC_ZTE_Madagascar(372)"/>
    <s v="372"/>
    <s v="RNC_ZTE_Madagascar(372)"/>
    <s v="11287"/>
    <x v="0"/>
    <n v="1"/>
    <n v="0.63"/>
    <n v="2.9653"/>
    <n v="100"/>
    <n v="99.9"/>
    <n v="99.9"/>
    <n v="99.9"/>
    <n v="0"/>
    <n v="0.28999999999999998"/>
    <n v="0"/>
    <n v="0"/>
    <n v="0"/>
    <n v="0"/>
    <n v="0"/>
    <n v="0"/>
    <n v="0"/>
    <n v="0.1694"/>
    <n v="0.17269999999999999"/>
    <n v="6.7699999999999996E-2"/>
    <n v="0"/>
    <n v="-4.6500000000000004"/>
    <n v="-97.85"/>
    <n v="99.96"/>
    <n v="0"/>
    <m/>
    <n v="1"/>
    <n v="0"/>
    <n v="368"/>
    <n v="0"/>
    <n v="0"/>
    <n v="0"/>
    <n v="21"/>
    <n v="1"/>
    <n v="5.5500000000000001E-2"/>
    <n v="789501600"/>
    <n v="20.239999999999998"/>
    <n v="101.73990000000001"/>
    <n v="737.96389999999997"/>
    <n v="100"/>
  </r>
  <r>
    <x v="17"/>
    <s v="2025-12-19 04:00:00"/>
    <s v="1 hour"/>
    <s v="372"/>
    <s v="RNC_ZTE_Madagascar(372)"/>
    <s v="372"/>
    <s v="RNC_ZTE_Madagascar(372)"/>
    <s v="11405"/>
    <x v="1"/>
    <n v="1"/>
    <n v="0.44"/>
    <n v="1.9935"/>
    <n v="100"/>
    <n v="99.8"/>
    <n v="99.8"/>
    <n v="99.8"/>
    <n v="0"/>
    <n v="0.14000000000000001"/>
    <n v="0"/>
    <n v="0"/>
    <n v="0"/>
    <n v="0"/>
    <n v="0"/>
    <n v="0"/>
    <n v="0"/>
    <n v="0.1726"/>
    <n v="7.4800000000000005E-2"/>
    <n v="5.1900000000000002E-2"/>
    <n v="1.1999999999999999E-3"/>
    <n v="-6.1"/>
    <n v="-102.11"/>
    <n v="99.86"/>
    <m/>
    <m/>
    <n v="1"/>
    <n v="8.0000000000000004E-4"/>
    <n v="398"/>
    <n v="0"/>
    <n v="0"/>
    <n v="0"/>
    <n v="33"/>
    <n v="1"/>
    <n v="2.9399999999999999E-2"/>
    <n v="789501600"/>
    <n v="22.366599999999998"/>
    <n v="96.3005"/>
    <n v="457.83100000000002"/>
    <n v="100"/>
  </r>
  <r>
    <x v="17"/>
    <s v="2025-12-19 04:00:00"/>
    <s v="1 hour"/>
    <s v="372"/>
    <s v="RNC_ZTE_Madagascar(372)"/>
    <s v="372"/>
    <s v="RNC_ZTE_Madagascar(372)"/>
    <s v="11651"/>
    <x v="2"/>
    <n v="1"/>
    <n v="0.52"/>
    <n v="0.72160000000000002"/>
    <n v="100"/>
    <n v="99.94"/>
    <n v="99.94"/>
    <n v="99.94"/>
    <n v="0"/>
    <n v="0.1"/>
    <n v="0"/>
    <n v="0"/>
    <n v="0"/>
    <n v="0"/>
    <n v="0"/>
    <n v="0"/>
    <n v="0"/>
    <n v="0.09"/>
    <n v="4.7399999999999998E-2"/>
    <n v="7.0499999999999993E-2"/>
    <n v="8.0000000000000004E-4"/>
    <n v="-3.18"/>
    <n v="-97.56"/>
    <n v="99.95"/>
    <n v="100"/>
    <m/>
    <n v="1"/>
    <n v="0"/>
    <n v="64"/>
    <n v="0"/>
    <n v="0"/>
    <n v="0"/>
    <n v="2"/>
    <n v="0.99990000000000001"/>
    <n v="1.9199999999999998E-2"/>
    <n v="789501600"/>
    <n v="13.283300000000001"/>
    <n v="45.824399999999997"/>
    <n v="152.6507"/>
    <n v="100"/>
  </r>
  <r>
    <x v="17"/>
    <s v="2025-12-19 04:00:00"/>
    <s v="1 hour"/>
    <s v="372"/>
    <s v="RNC_ZTE_Madagascar(372)"/>
    <s v="372"/>
    <s v="RNC_ZTE_Madagascar(372)"/>
    <s v="61102"/>
    <x v="3"/>
    <n v="1"/>
    <n v="0.04"/>
    <n v="0.38969999999999999"/>
    <n v="100"/>
    <n v="99.8"/>
    <n v="99.81"/>
    <n v="99.81"/>
    <n v="0"/>
    <n v="0.12"/>
    <n v="0"/>
    <n v="0"/>
    <n v="0"/>
    <n v="0"/>
    <n v="0"/>
    <n v="0"/>
    <n v="0"/>
    <n v="7.8600000000000003E-2"/>
    <n v="3.4200000000000001E-2"/>
    <n v="6.59E-2"/>
    <n v="1E-4"/>
    <n v="-3.62"/>
    <n v="-101.56"/>
    <n v="99.91"/>
    <n v="100"/>
    <m/>
    <n v="1"/>
    <n v="0"/>
    <n v="124"/>
    <n v="0"/>
    <n v="0"/>
    <n v="0"/>
    <n v="7"/>
    <n v="1"/>
    <n v="1.2800000000000001E-2"/>
    <n v="789501600"/>
    <n v="8.1516000000000002"/>
    <n v="25.657299999999999"/>
    <n v="85.791799999999995"/>
    <n v="100"/>
  </r>
  <r>
    <x v="18"/>
    <s v="2025-12-19 05:00:00"/>
    <s v="1 hour"/>
    <s v="372"/>
    <s v="RNC_ZTE_Madagascar(372)"/>
    <s v="372"/>
    <s v="RNC_ZTE_Madagascar(372)"/>
    <s v="11287"/>
    <x v="0"/>
    <n v="1"/>
    <n v="2.19"/>
    <n v="1.9710000000000001"/>
    <n v="100"/>
    <n v="99.92"/>
    <n v="99.91"/>
    <n v="99.91"/>
    <n v="0"/>
    <n v="0.06"/>
    <n v="0"/>
    <n v="0"/>
    <n v="0"/>
    <n v="0"/>
    <n v="0"/>
    <n v="0"/>
    <n v="0"/>
    <n v="0.14360000000000001"/>
    <n v="0.18609999999999999"/>
    <n v="7.0099999999999996E-2"/>
    <n v="1E-4"/>
    <n v="-4.49"/>
    <n v="-97.82"/>
    <n v="99.97"/>
    <m/>
    <m/>
    <n v="1"/>
    <n v="0"/>
    <n v="339"/>
    <n v="0"/>
    <n v="0"/>
    <n v="0"/>
    <n v="8"/>
    <n v="1"/>
    <n v="6.7699999999999996E-2"/>
    <n v="789501600"/>
    <n v="21.125"/>
    <n v="91.884900000000002"/>
    <n v="461.0489"/>
    <n v="100"/>
  </r>
  <r>
    <x v="18"/>
    <s v="2025-12-19 05:00:00"/>
    <s v="1 hour"/>
    <s v="372"/>
    <s v="RNC_ZTE_Madagascar(372)"/>
    <s v="372"/>
    <s v="RNC_ZTE_Madagascar(372)"/>
    <s v="11405"/>
    <x v="1"/>
    <n v="1"/>
    <n v="0.67"/>
    <n v="2.6827000000000001"/>
    <n v="100"/>
    <n v="99.8"/>
    <n v="99.8"/>
    <n v="99.8"/>
    <n v="0"/>
    <n v="0.19"/>
    <n v="0"/>
    <n v="0"/>
    <n v="0"/>
    <n v="0"/>
    <n v="0"/>
    <n v="0"/>
    <n v="0"/>
    <n v="0.22320000000000001"/>
    <n v="7.6200000000000004E-2"/>
    <n v="5.3400000000000003E-2"/>
    <n v="1.1000000000000001E-3"/>
    <n v="-6.55"/>
    <n v="-102.12"/>
    <n v="99.79"/>
    <n v="100"/>
    <m/>
    <n v="1"/>
    <n v="0"/>
    <n v="330"/>
    <n v="0"/>
    <n v="0"/>
    <n v="0"/>
    <n v="13"/>
    <n v="1"/>
    <n v="2.98E-2"/>
    <n v="789501600"/>
    <n v="23.0884"/>
    <n v="97.340100000000007"/>
    <n v="655.98270000000002"/>
    <n v="100"/>
  </r>
  <r>
    <x v="18"/>
    <s v="2025-12-19 05:00:00"/>
    <s v="1 hour"/>
    <s v="372"/>
    <s v="RNC_ZTE_Madagascar(372)"/>
    <s v="372"/>
    <s v="RNC_ZTE_Madagascar(372)"/>
    <s v="11651"/>
    <x v="2"/>
    <n v="1"/>
    <n v="1.17"/>
    <n v="1.0537000000000001"/>
    <n v="100"/>
    <n v="99.91"/>
    <n v="99.88"/>
    <n v="99.88"/>
    <n v="0"/>
    <n v="0.06"/>
    <n v="0"/>
    <n v="0"/>
    <n v="0"/>
    <n v="0"/>
    <n v="0"/>
    <n v="0"/>
    <n v="0"/>
    <n v="9.35E-2"/>
    <n v="4.9299999999999997E-2"/>
    <n v="7.2700000000000001E-2"/>
    <n v="1E-4"/>
    <n v="-3.2"/>
    <n v="-97.34"/>
    <n v="99.94"/>
    <m/>
    <m/>
    <n v="1"/>
    <n v="0"/>
    <n v="123"/>
    <n v="0"/>
    <n v="0"/>
    <n v="0"/>
    <n v="5"/>
    <n v="0.99990000000000001"/>
    <n v="1.6500000000000001E-2"/>
    <n v="789501600"/>
    <n v="13.75"/>
    <n v="139.0624"/>
    <n v="158.9648"/>
    <n v="100"/>
  </r>
  <r>
    <x v="18"/>
    <s v="2025-12-19 05:00:00"/>
    <s v="1 hour"/>
    <s v="372"/>
    <s v="RNC_ZTE_Madagascar(372)"/>
    <s v="372"/>
    <s v="RNC_ZTE_Madagascar(372)"/>
    <s v="61102"/>
    <x v="3"/>
    <n v="1"/>
    <n v="0.26"/>
    <n v="0.49509999999999998"/>
    <n v="100"/>
    <n v="99.9"/>
    <n v="99.91"/>
    <n v="99.91"/>
    <n v="0"/>
    <n v="0.14000000000000001"/>
    <n v="0"/>
    <n v="0"/>
    <n v="0"/>
    <n v="0"/>
    <n v="0"/>
    <n v="0"/>
    <n v="0"/>
    <n v="8.5400000000000004E-2"/>
    <n v="3.5400000000000001E-2"/>
    <n v="6.8400000000000002E-2"/>
    <n v="1E-4"/>
    <n v="-3.71"/>
    <n v="-101.54"/>
    <n v="99.94"/>
    <m/>
    <m/>
    <n v="1"/>
    <n v="0"/>
    <n v="69"/>
    <n v="0"/>
    <n v="0"/>
    <n v="0"/>
    <n v="7"/>
    <n v="1"/>
    <n v="1.1900000000000001E-2"/>
    <n v="789501600"/>
    <n v="9.3666999999999998"/>
    <n v="29.305700000000002"/>
    <n v="109.97539999999999"/>
    <n v="100"/>
  </r>
  <r>
    <x v="19"/>
    <s v="2025-12-19 06:00:00"/>
    <s v="1 hour"/>
    <s v="372"/>
    <s v="RNC_ZTE_Madagascar(372)"/>
    <s v="372"/>
    <s v="RNC_ZTE_Madagascar(372)"/>
    <s v="11287"/>
    <x v="0"/>
    <n v="1"/>
    <n v="3.44"/>
    <n v="2.7265000000000001"/>
    <n v="100"/>
    <n v="99.92"/>
    <n v="99.91"/>
    <n v="99.91"/>
    <n v="0"/>
    <n v="0.05"/>
    <n v="0"/>
    <n v="0"/>
    <n v="0"/>
    <n v="0"/>
    <n v="0"/>
    <n v="0"/>
    <n v="0"/>
    <n v="0.1983"/>
    <n v="0.22309999999999999"/>
    <n v="8.7099999999999997E-2"/>
    <n v="1E-4"/>
    <n v="-5.76"/>
    <n v="-97.21"/>
    <n v="99.95"/>
    <n v="100"/>
    <m/>
    <n v="1"/>
    <n v="0"/>
    <n v="370"/>
    <n v="0"/>
    <n v="0"/>
    <n v="0"/>
    <n v="18"/>
    <n v="1"/>
    <n v="8.1500000000000003E-2"/>
    <n v="789501600"/>
    <n v="27.58"/>
    <n v="162.9614"/>
    <n v="614.83989999999994"/>
    <n v="100"/>
  </r>
  <r>
    <x v="19"/>
    <s v="2025-12-19 06:00:00"/>
    <s v="1 hour"/>
    <s v="372"/>
    <s v="RNC_ZTE_Madagascar(372)"/>
    <s v="372"/>
    <s v="RNC_ZTE_Madagascar(372)"/>
    <s v="11405"/>
    <x v="1"/>
    <n v="1"/>
    <n v="1.71"/>
    <n v="1.9192"/>
    <n v="100"/>
    <n v="99.75"/>
    <n v="99.75"/>
    <n v="99.75"/>
    <n v="0"/>
    <n v="0.18"/>
    <n v="0"/>
    <n v="0"/>
    <n v="0"/>
    <n v="0"/>
    <n v="0"/>
    <n v="0"/>
    <n v="0"/>
    <n v="0.19189999999999999"/>
    <n v="7.8399999999999997E-2"/>
    <n v="6.3399999999999998E-2"/>
    <n v="3.0999999999999999E-3"/>
    <n v="-7.03"/>
    <n v="-101.94"/>
    <n v="99.83"/>
    <n v="100"/>
    <m/>
    <n v="1"/>
    <n v="3.3999999999999998E-3"/>
    <n v="453"/>
    <n v="0"/>
    <n v="0"/>
    <n v="0"/>
    <n v="23"/>
    <n v="1"/>
    <n v="3.3000000000000002E-2"/>
    <n v="789501600"/>
    <n v="25.26"/>
    <n v="120.34569999999999"/>
    <n v="423.37150000000003"/>
    <n v="100"/>
  </r>
  <r>
    <x v="19"/>
    <s v="2025-12-19 06:00:00"/>
    <s v="1 hour"/>
    <s v="372"/>
    <s v="RNC_ZTE_Madagascar(372)"/>
    <s v="372"/>
    <s v="RNC_ZTE_Madagascar(372)"/>
    <s v="11651"/>
    <x v="2"/>
    <n v="1"/>
    <n v="4.2"/>
    <n v="1.5642"/>
    <n v="99.73"/>
    <n v="99.87"/>
    <n v="99.87"/>
    <n v="99.87"/>
    <n v="0.28999999999999998"/>
    <n v="0.06"/>
    <n v="0"/>
    <n v="0"/>
    <n v="0"/>
    <n v="0"/>
    <n v="0"/>
    <n v="0"/>
    <n v="1E-4"/>
    <n v="0.13109999999999999"/>
    <n v="5.8400000000000001E-2"/>
    <n v="9.1499999999999998E-2"/>
    <n v="8.9999999999999998E-4"/>
    <n v="-4.29"/>
    <n v="-97.12"/>
    <n v="99.95"/>
    <m/>
    <m/>
    <n v="0.99950000000000006"/>
    <n v="5.9999999999999995E-4"/>
    <n v="113"/>
    <n v="0"/>
    <n v="0"/>
    <n v="0"/>
    <n v="12"/>
    <n v="0.99980000000000002"/>
    <n v="2.2499999999999999E-2"/>
    <n v="789501600"/>
    <n v="18.418299999999999"/>
    <n v="80.867999999999995"/>
    <n v="351.15010000000001"/>
    <n v="100"/>
  </r>
  <r>
    <x v="19"/>
    <s v="2025-12-19 06:00:00"/>
    <s v="1 hour"/>
    <s v="372"/>
    <s v="RNC_ZTE_Madagascar(372)"/>
    <s v="372"/>
    <s v="RNC_ZTE_Madagascar(372)"/>
    <s v="61102"/>
    <x v="3"/>
    <n v="1"/>
    <n v="0.56000000000000005"/>
    <n v="1.3889"/>
    <n v="100"/>
    <n v="99.98"/>
    <n v="99.98"/>
    <n v="99.98"/>
    <n v="0"/>
    <n v="0.06"/>
    <n v="0"/>
    <n v="0"/>
    <n v="0"/>
    <n v="0"/>
    <n v="0"/>
    <n v="0"/>
    <n v="0"/>
    <n v="0.113"/>
    <n v="4.2000000000000003E-2"/>
    <n v="8.5699999999999998E-2"/>
    <n v="0"/>
    <n v="-4.2"/>
    <n v="-101.27"/>
    <n v="99.98"/>
    <m/>
    <m/>
    <n v="1"/>
    <n v="1E-3"/>
    <n v="60"/>
    <n v="0"/>
    <n v="0"/>
    <n v="0"/>
    <n v="6"/>
    <n v="1"/>
    <n v="1.41E-2"/>
    <n v="789501600"/>
    <n v="12.966699999999999"/>
    <n v="98.669200000000004"/>
    <n v="282.69499999999999"/>
    <n v="100"/>
  </r>
  <r>
    <x v="20"/>
    <s v="2025-12-19 07:00:00"/>
    <s v="1 hour"/>
    <s v="372"/>
    <s v="RNC_ZTE_Madagascar(372)"/>
    <s v="372"/>
    <s v="RNC_ZTE_Madagascar(372)"/>
    <s v="11287"/>
    <x v="0"/>
    <n v="1"/>
    <n v="13.61"/>
    <n v="4.0110000000000001"/>
    <n v="100"/>
    <n v="99.94"/>
    <n v="99.92"/>
    <n v="99.92"/>
    <n v="0"/>
    <n v="0.05"/>
    <n v="0"/>
    <n v="0"/>
    <n v="0"/>
    <n v="0"/>
    <n v="0"/>
    <n v="0"/>
    <n v="0"/>
    <n v="0.31440000000000001"/>
    <n v="0.32429999999999998"/>
    <n v="0.14319999999999999"/>
    <n v="2.0000000000000001E-4"/>
    <n v="-7.7"/>
    <n v="-96.55"/>
    <n v="99.96"/>
    <n v="100"/>
    <m/>
    <n v="1"/>
    <n v="0"/>
    <n v="372"/>
    <n v="0"/>
    <n v="0"/>
    <n v="0"/>
    <n v="15"/>
    <n v="1"/>
    <n v="0.11459999999999999"/>
    <n v="789501600"/>
    <n v="44.271700000000003"/>
    <n v="250.75970000000001"/>
    <n v="857.80650000000003"/>
    <n v="100"/>
  </r>
  <r>
    <x v="20"/>
    <s v="2025-12-19 07:00:00"/>
    <s v="1 hour"/>
    <s v="372"/>
    <s v="RNC_ZTE_Madagascar(372)"/>
    <s v="372"/>
    <s v="RNC_ZTE_Madagascar(372)"/>
    <s v="11405"/>
    <x v="1"/>
    <n v="1"/>
    <n v="11.63"/>
    <n v="3.2222"/>
    <n v="100"/>
    <n v="99.82"/>
    <n v="99.83"/>
    <n v="99.82"/>
    <n v="0.51"/>
    <n v="0.36"/>
    <n v="0"/>
    <n v="0"/>
    <n v="0"/>
    <n v="0"/>
    <n v="0"/>
    <n v="0"/>
    <n v="0"/>
    <n v="0.31869999999999998"/>
    <n v="9.3299999999999994E-2"/>
    <n v="9.9199999999999997E-2"/>
    <n v="1E-3"/>
    <n v="-8.4499999999999993"/>
    <n v="-100.5"/>
    <n v="99.81"/>
    <n v="80"/>
    <n v="0"/>
    <n v="1"/>
    <n v="5.5999999999999999E-3"/>
    <n v="541"/>
    <n v="0"/>
    <n v="0"/>
    <n v="0"/>
    <n v="26"/>
    <n v="1"/>
    <n v="3.9100000000000003E-2"/>
    <n v="789501600"/>
    <n v="34.604999999999997"/>
    <n v="144.05889999999999"/>
    <n v="743.30349999999999"/>
    <n v="100"/>
  </r>
  <r>
    <x v="20"/>
    <s v="2025-12-19 07:00:00"/>
    <s v="1 hour"/>
    <s v="372"/>
    <s v="RNC_ZTE_Madagascar(372)"/>
    <s v="372"/>
    <s v="RNC_ZTE_Madagascar(372)"/>
    <s v="11651"/>
    <x v="2"/>
    <n v="1"/>
    <n v="17.02"/>
    <n v="3.0063"/>
    <n v="99.91"/>
    <n v="99.79"/>
    <n v="99.79"/>
    <n v="99.79"/>
    <n v="0"/>
    <n v="0.11"/>
    <n v="0"/>
    <n v="0"/>
    <n v="0"/>
    <n v="0"/>
    <n v="0"/>
    <n v="0"/>
    <n v="4.0000000000000002E-4"/>
    <n v="0.2344"/>
    <n v="8.0100000000000005E-2"/>
    <n v="0.1484"/>
    <n v="5.0000000000000001E-4"/>
    <n v="-6.38"/>
    <n v="-96.08"/>
    <n v="99.93"/>
    <n v="100"/>
    <n v="0"/>
    <n v="0.99980000000000002"/>
    <n v="5.0000000000000001E-4"/>
    <n v="99"/>
    <n v="0"/>
    <n v="0"/>
    <n v="0"/>
    <n v="18"/>
    <n v="0.99980000000000002"/>
    <n v="2.93E-2"/>
    <n v="789501600"/>
    <n v="30.030100000000001"/>
    <n v="140.73230000000001"/>
    <n v="679.49950000000001"/>
    <n v="100"/>
  </r>
  <r>
    <x v="20"/>
    <s v="2025-12-19 07:00:00"/>
    <s v="1 hour"/>
    <s v="372"/>
    <s v="RNC_ZTE_Madagascar(372)"/>
    <s v="372"/>
    <s v="RNC_ZTE_Madagascar(372)"/>
    <s v="61102"/>
    <x v="3"/>
    <n v="1"/>
    <n v="5.51"/>
    <n v="1.8826000000000001"/>
    <n v="99.75"/>
    <n v="99.85"/>
    <n v="99.85"/>
    <n v="99.85"/>
    <n v="0"/>
    <n v="0.06"/>
    <n v="0"/>
    <n v="0"/>
    <n v="0"/>
    <n v="0"/>
    <n v="0"/>
    <n v="0"/>
    <n v="0"/>
    <n v="0.16250000000000001"/>
    <n v="5.1900000000000002E-2"/>
    <n v="0.14019999999999999"/>
    <n v="2.9999999999999997E-4"/>
    <n v="-5.3"/>
    <n v="-100.83"/>
    <n v="99.92"/>
    <n v="80"/>
    <m/>
    <n v="0.99970000000000003"/>
    <n v="1.1999999999999999E-3"/>
    <n v="66"/>
    <n v="0"/>
    <n v="0"/>
    <n v="0"/>
    <n v="22"/>
    <n v="1"/>
    <n v="1.8499999999999999E-2"/>
    <n v="789501600"/>
    <n v="16.989999999999998"/>
    <n v="83.605800000000002"/>
    <n v="444.00069999999999"/>
    <n v="100"/>
  </r>
  <r>
    <x v="21"/>
    <s v="2025-12-19 08:00:00"/>
    <s v="1 hour"/>
    <s v="372"/>
    <s v="RNC_ZTE_Madagascar(372)"/>
    <s v="372"/>
    <s v="RNC_ZTE_Madagascar(372)"/>
    <s v="11287"/>
    <x v="0"/>
    <n v="1"/>
    <n v="37.32"/>
    <n v="6.0900999999999996"/>
    <n v="99.83"/>
    <n v="99.89"/>
    <n v="99.88"/>
    <n v="99.88"/>
    <n v="0.05"/>
    <n v="0.16"/>
    <n v="0"/>
    <n v="0"/>
    <n v="0"/>
    <n v="0"/>
    <n v="0"/>
    <n v="0"/>
    <n v="0"/>
    <n v="0.51060000000000005"/>
    <n v="0.3856"/>
    <n v="0.2006"/>
    <n v="4.0000000000000002E-4"/>
    <n v="-9.64"/>
    <n v="-95.24"/>
    <n v="99.94"/>
    <n v="85.71"/>
    <n v="100"/>
    <n v="0.99990000000000001"/>
    <n v="1E-4"/>
    <n v="319"/>
    <n v="0"/>
    <n v="0"/>
    <n v="0"/>
    <n v="40"/>
    <n v="1"/>
    <n v="0.14979999999999999"/>
    <n v="789501600"/>
    <n v="63.478299999999997"/>
    <n v="289.6925"/>
    <n v="1382.3507"/>
    <n v="100"/>
  </r>
  <r>
    <x v="21"/>
    <s v="2025-12-19 08:00:00"/>
    <s v="1 hour"/>
    <s v="372"/>
    <s v="RNC_ZTE_Madagascar(372)"/>
    <s v="372"/>
    <s v="RNC_ZTE_Madagascar(372)"/>
    <s v="11405"/>
    <x v="1"/>
    <n v="1"/>
    <n v="20.16"/>
    <n v="4.3322000000000003"/>
    <n v="99.71"/>
    <n v="99.86"/>
    <n v="99.83"/>
    <n v="99.83"/>
    <n v="0.1"/>
    <n v="0.51"/>
    <n v="0"/>
    <n v="0"/>
    <n v="0"/>
    <n v="0"/>
    <n v="0"/>
    <n v="0"/>
    <n v="1E-4"/>
    <n v="0.43380000000000002"/>
    <n v="9.3200000000000005E-2"/>
    <n v="0.1429"/>
    <n v="4.0000000000000002E-4"/>
    <n v="-9.84"/>
    <n v="-98.9"/>
    <n v="99.86"/>
    <n v="95.45"/>
    <n v="83.33"/>
    <n v="0.99909999999999999"/>
    <n v="4.1000000000000003E-3"/>
    <n v="354"/>
    <n v="0"/>
    <n v="0"/>
    <n v="0"/>
    <n v="26"/>
    <n v="1"/>
    <n v="4.6800000000000001E-2"/>
    <n v="789501600"/>
    <n v="41.673400000000001"/>
    <n v="298.3544"/>
    <n v="918.1"/>
    <n v="100"/>
  </r>
  <r>
    <x v="21"/>
    <s v="2025-12-19 08:00:00"/>
    <s v="1 hour"/>
    <s v="372"/>
    <s v="RNC_ZTE_Madagascar(372)"/>
    <s v="372"/>
    <s v="RNC_ZTE_Madagascar(372)"/>
    <s v="11651"/>
    <x v="2"/>
    <n v="0.86"/>
    <n v="28.7"/>
    <n v="3.5356999999999998"/>
    <n v="99.94"/>
    <n v="99.79"/>
    <n v="99.78"/>
    <n v="99.78"/>
    <n v="0.26"/>
    <n v="0.26"/>
    <n v="0"/>
    <n v="0"/>
    <n v="0"/>
    <n v="0"/>
    <n v="0"/>
    <n v="0"/>
    <n v="2.0000000000000001E-4"/>
    <n v="0.33400000000000002"/>
    <n v="9.5899999999999999E-2"/>
    <n v="0.18890000000000001"/>
    <n v="8.9999999999999998E-4"/>
    <n v="-7.66"/>
    <n v="-94.13"/>
    <n v="99.94"/>
    <n v="75"/>
    <n v="100"/>
    <n v="1"/>
    <n v="2.3E-3"/>
    <n v="135"/>
    <n v="0"/>
    <n v="0"/>
    <n v="0"/>
    <n v="31"/>
    <n v="1"/>
    <n v="3.6299999999999999E-2"/>
    <n v="789504624"/>
    <n v="38.375100000000003"/>
    <n v="174.8058"/>
    <n v="804.25360000000001"/>
    <n v="86"/>
  </r>
  <r>
    <x v="21"/>
    <s v="2025-12-19 08:00:00"/>
    <s v="1 hour"/>
    <s v="372"/>
    <s v="RNC_ZTE_Madagascar(372)"/>
    <s v="372"/>
    <s v="RNC_ZTE_Madagascar(372)"/>
    <s v="61102"/>
    <x v="3"/>
    <n v="1"/>
    <n v="14.12"/>
    <n v="2.6387"/>
    <n v="99.77"/>
    <n v="99.88"/>
    <n v="99.88"/>
    <n v="99.89"/>
    <n v="0"/>
    <n v="0.1"/>
    <n v="0"/>
    <n v="0"/>
    <n v="0"/>
    <n v="0"/>
    <n v="0"/>
    <n v="0"/>
    <n v="0"/>
    <n v="0.2621"/>
    <n v="7.2499999999999995E-2"/>
    <n v="0.1966"/>
    <n v="4.0000000000000002E-4"/>
    <n v="-7.55"/>
    <n v="-99.46"/>
    <n v="99.97"/>
    <n v="88.89"/>
    <n v="100"/>
    <n v="1"/>
    <n v="4.0000000000000002E-4"/>
    <n v="58"/>
    <n v="0"/>
    <n v="0"/>
    <n v="0"/>
    <n v="30"/>
    <n v="1"/>
    <n v="2.6100000000000002E-2"/>
    <n v="789501600"/>
    <n v="28.17"/>
    <n v="150.41139999999999"/>
    <n v="590.03809999999999"/>
    <n v="100"/>
  </r>
  <r>
    <x v="22"/>
    <s v="2025-12-19 09:00:00"/>
    <s v="1 hour"/>
    <s v="372"/>
    <s v="RNC_ZTE_Madagascar(372)"/>
    <s v="372"/>
    <s v="RNC_ZTE_Madagascar(372)"/>
    <s v="11287"/>
    <x v="0"/>
    <n v="1"/>
    <n v="42.22"/>
    <n v="5.2393999999999998"/>
    <n v="99.79"/>
    <n v="99.9"/>
    <n v="99.9"/>
    <n v="99.9"/>
    <n v="0"/>
    <n v="0.09"/>
    <n v="0"/>
    <n v="0"/>
    <n v="0"/>
    <n v="0"/>
    <n v="0"/>
    <n v="0"/>
    <n v="0"/>
    <n v="0.52859999999999996"/>
    <n v="0.40960000000000002"/>
    <n v="0.23069999999999999"/>
    <n v="5.0000000000000001E-4"/>
    <n v="-9.9600000000000009"/>
    <n v="-94.19"/>
    <n v="99.95"/>
    <n v="100"/>
    <n v="100"/>
    <n v="0.99990000000000001"/>
    <n v="2.0000000000000001E-4"/>
    <n v="266"/>
    <n v="0"/>
    <n v="0"/>
    <n v="0"/>
    <n v="23"/>
    <n v="1"/>
    <n v="0.15970000000000001"/>
    <n v="789501600"/>
    <n v="68.454999999999998"/>
    <n v="282.79939999999999"/>
    <n v="1149.7184999999999"/>
    <n v="100"/>
  </r>
  <r>
    <x v="22"/>
    <s v="2025-12-19 09:00:00"/>
    <s v="1 hour"/>
    <s v="372"/>
    <s v="RNC_ZTE_Madagascar(372)"/>
    <s v="372"/>
    <s v="RNC_ZTE_Madagascar(372)"/>
    <s v="11405"/>
    <x v="1"/>
    <n v="1"/>
    <n v="25.88"/>
    <n v="3.5063"/>
    <n v="99.55"/>
    <n v="99.75"/>
    <n v="99.75"/>
    <n v="99.75"/>
    <n v="0.15"/>
    <n v="0.32"/>
    <n v="0"/>
    <n v="0"/>
    <n v="0"/>
    <n v="0"/>
    <n v="0"/>
    <n v="0"/>
    <n v="0"/>
    <n v="0.41349999999999998"/>
    <n v="0.1038"/>
    <n v="0.16489999999999999"/>
    <n v="8.0000000000000004E-4"/>
    <n v="-9.4600000000000009"/>
    <n v="-98.64"/>
    <n v="99.9"/>
    <n v="92.31"/>
    <n v="91.67"/>
    <n v="1"/>
    <n v="6.4999999999999997E-3"/>
    <n v="326"/>
    <n v="0"/>
    <n v="0"/>
    <n v="0"/>
    <n v="46"/>
    <n v="1"/>
    <n v="4.4400000000000002E-2"/>
    <n v="789501600"/>
    <n v="41.753300000000003"/>
    <n v="228.4554"/>
    <n v="759.13300000000004"/>
    <n v="100"/>
  </r>
  <r>
    <x v="22"/>
    <s v="2025-12-19 09:00:00"/>
    <s v="1 hour"/>
    <s v="372"/>
    <s v="RNC_ZTE_Madagascar(372)"/>
    <s v="372"/>
    <s v="RNC_ZTE_Madagascar(372)"/>
    <s v="11651"/>
    <x v="2"/>
    <n v="1"/>
    <n v="41.61"/>
    <n v="4.7012"/>
    <n v="99.73"/>
    <n v="99.71"/>
    <n v="99.71"/>
    <n v="99.73"/>
    <n v="0.04"/>
    <n v="0.31"/>
    <n v="0"/>
    <n v="0"/>
    <n v="0"/>
    <n v="0"/>
    <n v="0"/>
    <n v="0"/>
    <n v="6.9999999999999999E-4"/>
    <n v="0.42970000000000003"/>
    <n v="0.1129"/>
    <n v="0.24349999999999999"/>
    <n v="8.9999999999999998E-4"/>
    <n v="-8.8699999999999992"/>
    <n v="-92.08"/>
    <n v="99.97"/>
    <n v="100"/>
    <n v="100"/>
    <n v="1"/>
    <n v="2E-3"/>
    <n v="112"/>
    <n v="0"/>
    <n v="0"/>
    <n v="0"/>
    <n v="36"/>
    <n v="1"/>
    <n v="4.5100000000000001E-2"/>
    <n v="789501600"/>
    <n v="54.405000000000001"/>
    <n v="243.96850000000001"/>
    <n v="1050.3344"/>
    <n v="100"/>
  </r>
  <r>
    <x v="22"/>
    <s v="2025-12-19 09:00:00"/>
    <s v="1 hour"/>
    <s v="372"/>
    <s v="RNC_ZTE_Madagascar(372)"/>
    <s v="372"/>
    <s v="RNC_ZTE_Madagascar(372)"/>
    <s v="61102"/>
    <x v="3"/>
    <n v="1"/>
    <n v="18.8"/>
    <n v="3.3736999999999999"/>
    <n v="100"/>
    <n v="99.77"/>
    <n v="99.76"/>
    <n v="99.76"/>
    <n v="0"/>
    <n v="0.23"/>
    <n v="0"/>
    <n v="0"/>
    <n v="0"/>
    <n v="0"/>
    <n v="0"/>
    <n v="0"/>
    <n v="0"/>
    <n v="0.28970000000000001"/>
    <n v="7.1900000000000006E-2"/>
    <n v="0.22550000000000001"/>
    <n v="5.0000000000000001E-4"/>
    <n v="-7.3"/>
    <n v="-98.83"/>
    <n v="99.96"/>
    <n v="93.33"/>
    <n v="100"/>
    <n v="1"/>
    <n v="2.5999999999999999E-3"/>
    <n v="96"/>
    <n v="0"/>
    <n v="0"/>
    <n v="0"/>
    <n v="16"/>
    <n v="1"/>
    <n v="2.7799999999999998E-2"/>
    <n v="789501600"/>
    <n v="31.453299999999999"/>
    <n v="142.21090000000001"/>
    <n v="801.53430000000003"/>
    <n v="100"/>
  </r>
  <r>
    <x v="23"/>
    <s v="2025-12-19 10:00:00"/>
    <s v="1 hour"/>
    <s v="372"/>
    <s v="RNC_ZTE_Madagascar(372)"/>
    <s v="372"/>
    <s v="RNC_ZTE_Madagascar(372)"/>
    <s v="11287"/>
    <x v="0"/>
    <n v="1"/>
    <n v="52.58"/>
    <n v="7.3861999999999997"/>
    <n v="99.76"/>
    <n v="99.87"/>
    <n v="99.85"/>
    <n v="99.85"/>
    <n v="0.03"/>
    <n v="0.25"/>
    <n v="0"/>
    <n v="0"/>
    <n v="0"/>
    <n v="0"/>
    <n v="0"/>
    <n v="0"/>
    <n v="0"/>
    <n v="0.67669999999999997"/>
    <n v="0.36"/>
    <n v="0.24310000000000001"/>
    <n v="5.0000000000000001E-4"/>
    <n v="-11.2"/>
    <n v="-93.92"/>
    <n v="99.93"/>
    <n v="100"/>
    <n v="100"/>
    <n v="1"/>
    <n v="1E-4"/>
    <n v="365"/>
    <n v="0"/>
    <n v="0"/>
    <n v="0"/>
    <n v="53"/>
    <n v="1"/>
    <n v="0.14599999999999999"/>
    <n v="789501600"/>
    <n v="77.228399999999993"/>
    <n v="310.59750000000003"/>
    <n v="1739.0027"/>
    <n v="100"/>
  </r>
  <r>
    <x v="23"/>
    <s v="2025-12-19 10:00:00"/>
    <s v="1 hour"/>
    <s v="372"/>
    <s v="RNC_ZTE_Madagascar(372)"/>
    <s v="372"/>
    <s v="RNC_ZTE_Madagascar(372)"/>
    <s v="11405"/>
    <x v="1"/>
    <n v="1"/>
    <n v="23.98"/>
    <n v="4.4907000000000004"/>
    <n v="99.79"/>
    <n v="99.7"/>
    <n v="99.68"/>
    <n v="99.68"/>
    <n v="0"/>
    <n v="0.41"/>
    <n v="0"/>
    <n v="0"/>
    <n v="0"/>
    <n v="0"/>
    <n v="0"/>
    <n v="0"/>
    <n v="0"/>
    <n v="0.49020000000000002"/>
    <n v="9.5500000000000002E-2"/>
    <n v="0.1757"/>
    <n v="8.0000000000000004E-4"/>
    <n v="-10.16"/>
    <n v="-98.47"/>
    <n v="99.86"/>
    <n v="100"/>
    <n v="90"/>
    <n v="1"/>
    <n v="2.3999999999999998E-3"/>
    <n v="313"/>
    <n v="0"/>
    <n v="0"/>
    <n v="0"/>
    <n v="31"/>
    <n v="1"/>
    <n v="4.3900000000000002E-2"/>
    <n v="789501600"/>
    <n v="44.906700000000001"/>
    <n v="219.28639999999999"/>
    <n v="1010.7155"/>
    <n v="100"/>
  </r>
  <r>
    <x v="23"/>
    <s v="2025-12-19 10:00:00"/>
    <s v="1 hour"/>
    <s v="372"/>
    <s v="RNC_ZTE_Madagascar(372)"/>
    <s v="372"/>
    <s v="RNC_ZTE_Madagascar(372)"/>
    <s v="11651"/>
    <x v="2"/>
    <n v="0.86"/>
    <n v="42.17"/>
    <n v="3.5728"/>
    <n v="99.85"/>
    <n v="99.88"/>
    <n v="99.88"/>
    <n v="99.88"/>
    <n v="0.34"/>
    <n v="0.37"/>
    <n v="0"/>
    <n v="0"/>
    <n v="0"/>
    <n v="0"/>
    <n v="0"/>
    <n v="0"/>
    <n v="5.9999999999999995E-4"/>
    <n v="0.42920000000000003"/>
    <n v="0.1077"/>
    <n v="0.23119999999999999"/>
    <n v="8.9999999999999998E-4"/>
    <n v="-9.31"/>
    <n v="-92.08"/>
    <n v="99.93"/>
    <n v="81.819999999999993"/>
    <n v="33.33"/>
    <n v="0.99990000000000001"/>
    <n v="1.5E-3"/>
    <n v="161"/>
    <n v="0"/>
    <n v="0"/>
    <n v="0"/>
    <n v="47"/>
    <n v="1"/>
    <n v="4.4299999999999999E-2"/>
    <n v="789504624"/>
    <n v="49.045000000000002"/>
    <n v="184.77789999999999"/>
    <n v="798.36329999999998"/>
    <n v="86"/>
  </r>
  <r>
    <x v="23"/>
    <s v="2025-12-19 10:00:00"/>
    <s v="1 hour"/>
    <s v="372"/>
    <s v="RNC_ZTE_Madagascar(372)"/>
    <s v="372"/>
    <s v="RNC_ZTE_Madagascar(372)"/>
    <s v="61102"/>
    <x v="3"/>
    <n v="1"/>
    <n v="22.6"/>
    <n v="2.7629999999999999"/>
    <n v="99.79"/>
    <n v="99.86"/>
    <n v="99.85"/>
    <n v="99.85"/>
    <n v="0.15"/>
    <n v="0.18"/>
    <n v="0"/>
    <n v="0"/>
    <n v="0"/>
    <n v="0"/>
    <n v="0"/>
    <n v="0"/>
    <n v="0"/>
    <n v="0.31180000000000002"/>
    <n v="7.5800000000000006E-2"/>
    <n v="0.23730000000000001"/>
    <n v="5.9999999999999995E-4"/>
    <n v="-8.19"/>
    <n v="-98.69"/>
    <n v="99.97"/>
    <n v="93.75"/>
    <n v="100"/>
    <n v="1"/>
    <n v="4.0000000000000002E-4"/>
    <n v="102"/>
    <n v="0"/>
    <n v="0"/>
    <n v="0"/>
    <n v="32"/>
    <n v="1"/>
    <n v="2.7E-2"/>
    <n v="789501600"/>
    <n v="32.276600000000002"/>
    <n v="136.80779999999999"/>
    <n v="631.13"/>
    <n v="100"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679EA-301B-41EE-A701-701612D99226}" name="PivotTable2" cacheId="9" dataOnRows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K36" firstHeaderRow="1" firstDataRow="2" firstDataCol="1"/>
  <pivotFields count="48">
    <pivotField axis="axisCol" showAll="0">
      <items count="81">
        <item h="1" m="1" x="43"/>
        <item h="1" m="1" x="37"/>
        <item h="1" m="1" x="40"/>
        <item h="1" m="1" x="34"/>
        <item h="1" m="1" x="31"/>
        <item h="1" m="1" x="28"/>
        <item h="1" m="1" x="25"/>
        <item h="1" m="1" x="78"/>
        <item h="1" m="1" x="76"/>
        <item h="1" m="1" x="74"/>
        <item h="1" m="1" x="72"/>
        <item h="1" m="1" x="68"/>
        <item h="1" m="1" x="70"/>
        <item h="1" m="1" x="66"/>
        <item h="1" m="1" x="64"/>
        <item h="1" m="1" x="62"/>
        <item h="1" m="1" x="60"/>
        <item h="1" m="1" x="58"/>
        <item h="1" m="1" x="56"/>
        <item h="1" m="1" x="54"/>
        <item h="1" m="1" x="52"/>
        <item h="1" m="1" x="50"/>
        <item h="1" m="1" x="48"/>
        <item h="1" m="1" x="46"/>
        <item h="1" m="1" x="44"/>
        <item h="1" m="1" x="38"/>
        <item h="1" m="1" x="41"/>
        <item h="1" m="1" x="35"/>
        <item h="1" m="1" x="32"/>
        <item h="1" m="1" x="29"/>
        <item h="1" m="1" x="26"/>
        <item h="1" m="1" x="79"/>
        <item h="1" m="1" x="77"/>
        <item h="1" m="1" x="75"/>
        <item h="1" m="1" x="73"/>
        <item h="1" m="1" x="69"/>
        <item h="1" m="1" x="71"/>
        <item h="1" m="1" x="67"/>
        <item h="1" m="1" x="65"/>
        <item h="1" m="1" x="63"/>
        <item h="1" m="1" x="61"/>
        <item h="1" m="1" x="59"/>
        <item h="1" m="1" x="57"/>
        <item h="1" m="1" x="55"/>
        <item h="1" m="1" x="53"/>
        <item h="1" m="1" x="51"/>
        <item h="1" m="1" x="49"/>
        <item h="1" m="1" x="47"/>
        <item h="1" m="1" x="45"/>
        <item h="1" m="1" x="39"/>
        <item h="1" m="1" x="42"/>
        <item h="1" m="1" x="36"/>
        <item h="1" m="1" x="33"/>
        <item h="1" m="1" x="30"/>
        <item h="1" m="1" x="2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m="1" x="5"/>
        <item m="1" x="9"/>
        <item m="1" x="7"/>
        <item m="1" x="8"/>
        <item m="1" x="6"/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8"/>
    <field x="-2"/>
  </rowFields>
  <rowItems count="32"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</rowItems>
  <colFields count="1">
    <field x="0"/>
  </colFields>
  <colItems count="10"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</colItems>
  <dataFields count="7">
    <dataField name="Average of ORA_3G_Cell Availability (%)" fld="47" subtotal="average" baseField="8" baseItem="0"/>
    <dataField name="Average of OCM_3G_CSSR_CS_CellPCH_URAPCH_New(%)" fld="12" subtotal="average" baseField="8" baseItem="0"/>
    <dataField name="Average of OCM_3G_CSSR_PS_CellPCH_URAPCH_New(%)" fld="13" subtotal="average" baseField="8" baseItem="0"/>
    <dataField name="Average of OCM_3G_Call_Drop_CS_New(%)" fld="16" subtotal="average" baseField="8" baseItem="0"/>
    <dataField name="Average of ORA_3G_Call_Drop_PS_All_Data_Services_New(%)" fld="17" subtotal="average" baseField="8" baseItem="0"/>
    <dataField name="Sum of ORA_3G_CS Voice Traffic (Erl)" fld="10" baseField="0" baseItem="0"/>
    <dataField name="Sum of ORA_3G_Traffic Total Data_MAC (GB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2F13-BCEE-4842-8767-115A8BF336C5}">
  <dimension ref="A3:K36"/>
  <sheetViews>
    <sheetView workbookViewId="0">
      <selection activeCell="A4" sqref="A4:K36"/>
    </sheetView>
  </sheetViews>
  <sheetFormatPr defaultRowHeight="15" x14ac:dyDescent="0.25"/>
  <cols>
    <col min="1" max="1" width="61.140625" bestFit="1" customWidth="1"/>
    <col min="2" max="25" width="18.28515625" bestFit="1" customWidth="1"/>
    <col min="26" max="26" width="7.28515625" bestFit="1" customWidth="1"/>
    <col min="27" max="27" width="12" bestFit="1" customWidth="1"/>
    <col min="28" max="28" width="34.42578125" bestFit="1" customWidth="1"/>
    <col min="29" max="29" width="41.42578125" bestFit="1" customWidth="1"/>
    <col min="30" max="30" width="37.42578125" bestFit="1" customWidth="1"/>
    <col min="31" max="32" width="53.28515625" bestFit="1" customWidth="1"/>
    <col min="33" max="33" width="40.7109375" bestFit="1" customWidth="1"/>
    <col min="34" max="34" width="57.42578125" bestFit="1" customWidth="1"/>
    <col min="35" max="35" width="34.42578125" bestFit="1" customWidth="1"/>
    <col min="36" max="36" width="41.42578125" bestFit="1" customWidth="1"/>
    <col min="37" max="37" width="37.42578125" bestFit="1" customWidth="1"/>
    <col min="38" max="39" width="53.28515625" bestFit="1" customWidth="1"/>
    <col min="40" max="40" width="40.7109375" bestFit="1" customWidth="1"/>
    <col min="41" max="41" width="57.42578125" bestFit="1" customWidth="1"/>
    <col min="42" max="42" width="34.42578125" bestFit="1" customWidth="1"/>
    <col min="43" max="43" width="41.42578125" bestFit="1" customWidth="1"/>
    <col min="44" max="44" width="37.42578125" bestFit="1" customWidth="1"/>
    <col min="45" max="46" width="53.28515625" bestFit="1" customWidth="1"/>
    <col min="47" max="47" width="40.7109375" bestFit="1" customWidth="1"/>
    <col min="48" max="48" width="57.42578125" bestFit="1" customWidth="1"/>
    <col min="49" max="49" width="34.42578125" bestFit="1" customWidth="1"/>
    <col min="50" max="50" width="41.42578125" bestFit="1" customWidth="1"/>
    <col min="51" max="51" width="37.42578125" bestFit="1" customWidth="1"/>
    <col min="52" max="53" width="53.28515625" bestFit="1" customWidth="1"/>
    <col min="54" max="54" width="40.7109375" bestFit="1" customWidth="1"/>
    <col min="55" max="55" width="57.42578125" bestFit="1" customWidth="1"/>
    <col min="56" max="56" width="34.42578125" bestFit="1" customWidth="1"/>
    <col min="57" max="57" width="41.42578125" bestFit="1" customWidth="1"/>
    <col min="58" max="58" width="37.42578125" bestFit="1" customWidth="1"/>
    <col min="59" max="60" width="53.28515625" bestFit="1" customWidth="1"/>
    <col min="61" max="61" width="40.7109375" bestFit="1" customWidth="1"/>
    <col min="62" max="62" width="57.42578125" bestFit="1" customWidth="1"/>
    <col min="63" max="63" width="34.42578125" bestFit="1" customWidth="1"/>
    <col min="64" max="64" width="41.42578125" bestFit="1" customWidth="1"/>
    <col min="65" max="65" width="37.42578125" bestFit="1" customWidth="1"/>
    <col min="66" max="67" width="53.28515625" bestFit="1" customWidth="1"/>
    <col min="68" max="68" width="40.7109375" bestFit="1" customWidth="1"/>
    <col min="69" max="69" width="57.42578125" bestFit="1" customWidth="1"/>
    <col min="70" max="70" width="34.42578125" bestFit="1" customWidth="1"/>
    <col min="71" max="71" width="41.42578125" bestFit="1" customWidth="1"/>
    <col min="72" max="72" width="37.42578125" bestFit="1" customWidth="1"/>
    <col min="73" max="74" width="53.28515625" bestFit="1" customWidth="1"/>
    <col min="75" max="75" width="40.7109375" bestFit="1" customWidth="1"/>
    <col min="76" max="76" width="57.42578125" bestFit="1" customWidth="1"/>
    <col min="77" max="77" width="34.42578125" bestFit="1" customWidth="1"/>
    <col min="78" max="78" width="41.42578125" bestFit="1" customWidth="1"/>
    <col min="79" max="79" width="37.42578125" bestFit="1" customWidth="1"/>
    <col min="80" max="81" width="53.28515625" bestFit="1" customWidth="1"/>
    <col min="82" max="82" width="40.7109375" bestFit="1" customWidth="1"/>
    <col min="83" max="83" width="57.42578125" bestFit="1" customWidth="1"/>
    <col min="84" max="84" width="34.42578125" bestFit="1" customWidth="1"/>
    <col min="85" max="85" width="41.42578125" bestFit="1" customWidth="1"/>
    <col min="86" max="86" width="37.42578125" bestFit="1" customWidth="1"/>
    <col min="87" max="88" width="53.28515625" bestFit="1" customWidth="1"/>
    <col min="89" max="89" width="40.7109375" bestFit="1" customWidth="1"/>
    <col min="90" max="90" width="57.42578125" bestFit="1" customWidth="1"/>
    <col min="91" max="91" width="34.42578125" bestFit="1" customWidth="1"/>
    <col min="92" max="92" width="41.42578125" bestFit="1" customWidth="1"/>
    <col min="93" max="93" width="37.42578125" bestFit="1" customWidth="1"/>
    <col min="94" max="95" width="53.28515625" bestFit="1" customWidth="1"/>
    <col min="96" max="96" width="40.7109375" bestFit="1" customWidth="1"/>
    <col min="97" max="97" width="57.42578125" bestFit="1" customWidth="1"/>
    <col min="98" max="98" width="34.42578125" bestFit="1" customWidth="1"/>
    <col min="99" max="99" width="41.42578125" bestFit="1" customWidth="1"/>
    <col min="100" max="100" width="37.42578125" bestFit="1" customWidth="1"/>
    <col min="101" max="102" width="53.28515625" bestFit="1" customWidth="1"/>
    <col min="103" max="103" width="40.7109375" bestFit="1" customWidth="1"/>
    <col min="104" max="104" width="57.42578125" bestFit="1" customWidth="1"/>
    <col min="105" max="105" width="34.42578125" bestFit="1" customWidth="1"/>
    <col min="106" max="106" width="41.42578125" bestFit="1" customWidth="1"/>
    <col min="107" max="107" width="37.42578125" bestFit="1" customWidth="1"/>
    <col min="108" max="109" width="53.28515625" bestFit="1" customWidth="1"/>
    <col min="110" max="110" width="40.7109375" bestFit="1" customWidth="1"/>
    <col min="111" max="111" width="57.42578125" bestFit="1" customWidth="1"/>
    <col min="112" max="112" width="34.42578125" bestFit="1" customWidth="1"/>
    <col min="113" max="113" width="41.42578125" bestFit="1" customWidth="1"/>
    <col min="114" max="114" width="37.42578125" bestFit="1" customWidth="1"/>
    <col min="115" max="116" width="53.28515625" bestFit="1" customWidth="1"/>
    <col min="117" max="117" width="40.7109375" bestFit="1" customWidth="1"/>
    <col min="118" max="118" width="57.42578125" bestFit="1" customWidth="1"/>
    <col min="119" max="119" width="34.42578125" bestFit="1" customWidth="1"/>
    <col min="120" max="120" width="41.42578125" bestFit="1" customWidth="1"/>
    <col min="121" max="121" width="37.42578125" bestFit="1" customWidth="1"/>
    <col min="122" max="123" width="53.28515625" bestFit="1" customWidth="1"/>
    <col min="124" max="124" width="40.7109375" bestFit="1" customWidth="1"/>
    <col min="125" max="125" width="57.42578125" bestFit="1" customWidth="1"/>
    <col min="126" max="126" width="34.42578125" bestFit="1" customWidth="1"/>
    <col min="127" max="127" width="41.42578125" bestFit="1" customWidth="1"/>
    <col min="128" max="128" width="37.42578125" bestFit="1" customWidth="1"/>
    <col min="129" max="130" width="53.28515625" bestFit="1" customWidth="1"/>
    <col min="131" max="131" width="40.7109375" bestFit="1" customWidth="1"/>
    <col min="132" max="132" width="57.42578125" bestFit="1" customWidth="1"/>
    <col min="133" max="133" width="34.42578125" bestFit="1" customWidth="1"/>
    <col min="134" max="134" width="41.42578125" bestFit="1" customWidth="1"/>
    <col min="135" max="135" width="37.42578125" bestFit="1" customWidth="1"/>
    <col min="136" max="137" width="53.28515625" bestFit="1" customWidth="1"/>
    <col min="138" max="138" width="40.7109375" bestFit="1" customWidth="1"/>
    <col min="139" max="139" width="57.42578125" bestFit="1" customWidth="1"/>
    <col min="140" max="140" width="34.42578125" bestFit="1" customWidth="1"/>
    <col min="141" max="141" width="41.42578125" bestFit="1" customWidth="1"/>
    <col min="142" max="142" width="37.42578125" bestFit="1" customWidth="1"/>
    <col min="143" max="144" width="53.28515625" bestFit="1" customWidth="1"/>
    <col min="145" max="145" width="40.7109375" bestFit="1" customWidth="1"/>
    <col min="146" max="146" width="57.42578125" bestFit="1" customWidth="1"/>
    <col min="147" max="147" width="34.42578125" bestFit="1" customWidth="1"/>
    <col min="148" max="148" width="41.42578125" bestFit="1" customWidth="1"/>
    <col min="149" max="149" width="37.42578125" bestFit="1" customWidth="1"/>
    <col min="150" max="151" width="53.28515625" bestFit="1" customWidth="1"/>
    <col min="152" max="152" width="40.7109375" bestFit="1" customWidth="1"/>
    <col min="153" max="153" width="57.42578125" bestFit="1" customWidth="1"/>
    <col min="154" max="154" width="34.42578125" bestFit="1" customWidth="1"/>
    <col min="155" max="155" width="41.42578125" bestFit="1" customWidth="1"/>
    <col min="156" max="156" width="37.42578125" bestFit="1" customWidth="1"/>
    <col min="157" max="158" width="53.28515625" bestFit="1" customWidth="1"/>
    <col min="159" max="159" width="40.7109375" bestFit="1" customWidth="1"/>
    <col min="160" max="160" width="57.42578125" bestFit="1" customWidth="1"/>
    <col min="161" max="161" width="34.42578125" bestFit="1" customWidth="1"/>
    <col min="162" max="162" width="41.42578125" bestFit="1" customWidth="1"/>
    <col min="163" max="163" width="37.42578125" bestFit="1" customWidth="1"/>
    <col min="164" max="165" width="53.28515625" bestFit="1" customWidth="1"/>
    <col min="166" max="166" width="40.7109375" bestFit="1" customWidth="1"/>
    <col min="167" max="167" width="57.42578125" bestFit="1" customWidth="1"/>
    <col min="168" max="168" width="34.42578125" bestFit="1" customWidth="1"/>
    <col min="169" max="169" width="41.42578125" bestFit="1" customWidth="1"/>
    <col min="170" max="170" width="37.42578125" bestFit="1" customWidth="1"/>
    <col min="171" max="172" width="53.28515625" bestFit="1" customWidth="1"/>
    <col min="173" max="173" width="40.7109375" bestFit="1" customWidth="1"/>
    <col min="174" max="174" width="57.42578125" bestFit="1" customWidth="1"/>
    <col min="175" max="175" width="34.42578125" bestFit="1" customWidth="1"/>
    <col min="176" max="176" width="41.42578125" bestFit="1" customWidth="1"/>
    <col min="177" max="177" width="42.5703125" bestFit="1" customWidth="1"/>
    <col min="178" max="179" width="58.28515625" bestFit="1" customWidth="1"/>
    <col min="180" max="180" width="45.7109375" bestFit="1" customWidth="1"/>
    <col min="181" max="181" width="62.42578125" bestFit="1" customWidth="1"/>
    <col min="182" max="182" width="39.42578125" bestFit="1" customWidth="1"/>
    <col min="183" max="183" width="46.5703125" bestFit="1" customWidth="1"/>
  </cols>
  <sheetData>
    <row r="3" spans="1:11" x14ac:dyDescent="0.25">
      <c r="B3" s="9" t="s">
        <v>949</v>
      </c>
    </row>
    <row r="4" spans="1:11" x14ac:dyDescent="0.25">
      <c r="A4" s="9" t="s">
        <v>950</v>
      </c>
      <c r="B4" t="s">
        <v>982</v>
      </c>
      <c r="C4" t="s">
        <v>983</v>
      </c>
      <c r="D4" t="s">
        <v>984</v>
      </c>
      <c r="E4" t="s">
        <v>985</v>
      </c>
      <c r="F4" t="s">
        <v>986</v>
      </c>
      <c r="G4" t="s">
        <v>987</v>
      </c>
      <c r="H4" t="s">
        <v>988</v>
      </c>
      <c r="I4" t="s">
        <v>989</v>
      </c>
      <c r="J4" t="s">
        <v>990</v>
      </c>
      <c r="K4" t="s">
        <v>991</v>
      </c>
    </row>
    <row r="5" spans="1:11" x14ac:dyDescent="0.25">
      <c r="A5" s="11" t="s">
        <v>963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13" t="s">
        <v>951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</row>
    <row r="7" spans="1:11" x14ac:dyDescent="0.25">
      <c r="A7" s="13" t="s">
        <v>952</v>
      </c>
      <c r="B7" s="12">
        <v>100</v>
      </c>
      <c r="C7" s="12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99.83</v>
      </c>
      <c r="J7" s="12">
        <v>99.79</v>
      </c>
      <c r="K7" s="12">
        <v>99.76</v>
      </c>
    </row>
    <row r="8" spans="1:11" x14ac:dyDescent="0.25">
      <c r="A8" s="13" t="s">
        <v>953</v>
      </c>
      <c r="B8" s="12">
        <v>99.42</v>
      </c>
      <c r="C8" s="12">
        <v>99.82</v>
      </c>
      <c r="D8" s="12">
        <v>99.99</v>
      </c>
      <c r="E8" s="12">
        <v>99.9</v>
      </c>
      <c r="F8" s="12">
        <v>99.92</v>
      </c>
      <c r="G8" s="12">
        <v>99.92</v>
      </c>
      <c r="H8" s="12">
        <v>99.94</v>
      </c>
      <c r="I8" s="12">
        <v>99.89</v>
      </c>
      <c r="J8" s="12">
        <v>99.9</v>
      </c>
      <c r="K8" s="12">
        <v>99.87</v>
      </c>
    </row>
    <row r="9" spans="1:11" x14ac:dyDescent="0.25">
      <c r="A9" s="13" t="s">
        <v>954</v>
      </c>
      <c r="B9" s="12">
        <v>0.42</v>
      </c>
      <c r="C9" s="12">
        <v>0</v>
      </c>
      <c r="D9" s="12">
        <v>0.76</v>
      </c>
      <c r="E9" s="12">
        <v>0</v>
      </c>
      <c r="F9" s="12">
        <v>0</v>
      </c>
      <c r="G9" s="12">
        <v>0</v>
      </c>
      <c r="H9" s="12">
        <v>0</v>
      </c>
      <c r="I9" s="12">
        <v>0.05</v>
      </c>
      <c r="J9" s="12">
        <v>0</v>
      </c>
      <c r="K9" s="12">
        <v>0.03</v>
      </c>
    </row>
    <row r="10" spans="1:11" x14ac:dyDescent="0.25">
      <c r="A10" s="13" t="s">
        <v>955</v>
      </c>
      <c r="B10" s="12">
        <v>0.15</v>
      </c>
      <c r="C10" s="12">
        <v>0.1</v>
      </c>
      <c r="D10" s="12">
        <v>0.01</v>
      </c>
      <c r="E10" s="12">
        <v>0.28999999999999998</v>
      </c>
      <c r="F10" s="12">
        <v>0.06</v>
      </c>
      <c r="G10" s="12">
        <v>0.05</v>
      </c>
      <c r="H10" s="12">
        <v>0.05</v>
      </c>
      <c r="I10" s="12">
        <v>0.16</v>
      </c>
      <c r="J10" s="12">
        <v>0.09</v>
      </c>
      <c r="K10" s="12">
        <v>0.25</v>
      </c>
    </row>
    <row r="11" spans="1:11" x14ac:dyDescent="0.25">
      <c r="A11" s="13" t="s">
        <v>956</v>
      </c>
      <c r="B11" s="12">
        <v>10.96</v>
      </c>
      <c r="C11" s="12">
        <v>4.45</v>
      </c>
      <c r="D11" s="12">
        <v>3.23</v>
      </c>
      <c r="E11" s="12">
        <v>0.63</v>
      </c>
      <c r="F11" s="12">
        <v>2.19</v>
      </c>
      <c r="G11" s="12">
        <v>3.44</v>
      </c>
      <c r="H11" s="12">
        <v>13.61</v>
      </c>
      <c r="I11" s="12">
        <v>37.32</v>
      </c>
      <c r="J11" s="12">
        <v>42.22</v>
      </c>
      <c r="K11" s="12">
        <v>52.58</v>
      </c>
    </row>
    <row r="12" spans="1:11" x14ac:dyDescent="0.25">
      <c r="A12" s="13" t="s">
        <v>957</v>
      </c>
      <c r="B12" s="12">
        <v>8.6456999999999997</v>
      </c>
      <c r="C12" s="12">
        <v>5.5278</v>
      </c>
      <c r="D12" s="12">
        <v>7.3362999999999996</v>
      </c>
      <c r="E12" s="12">
        <v>2.9653</v>
      </c>
      <c r="F12" s="12">
        <v>1.9710000000000001</v>
      </c>
      <c r="G12" s="12">
        <v>2.7265000000000001</v>
      </c>
      <c r="H12" s="12">
        <v>4.0110000000000001</v>
      </c>
      <c r="I12" s="12">
        <v>6.0900999999999996</v>
      </c>
      <c r="J12" s="12">
        <v>5.2393999999999998</v>
      </c>
      <c r="K12" s="12">
        <v>7.3861999999999997</v>
      </c>
    </row>
    <row r="13" spans="1:11" x14ac:dyDescent="0.25">
      <c r="A13" s="11" t="s">
        <v>965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 s="13" t="s">
        <v>951</v>
      </c>
      <c r="B14" s="12">
        <v>100</v>
      </c>
      <c r="C14" s="12">
        <v>100</v>
      </c>
      <c r="D14" s="12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</row>
    <row r="15" spans="1:11" x14ac:dyDescent="0.25">
      <c r="A15" s="13" t="s">
        <v>952</v>
      </c>
      <c r="B15" s="12">
        <v>100</v>
      </c>
      <c r="C15" s="12">
        <v>100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99.71</v>
      </c>
      <c r="J15" s="12">
        <v>99.55</v>
      </c>
      <c r="K15" s="12">
        <v>99.79</v>
      </c>
    </row>
    <row r="16" spans="1:11" x14ac:dyDescent="0.25">
      <c r="A16" s="13" t="s">
        <v>953</v>
      </c>
      <c r="B16" s="12">
        <v>99.28</v>
      </c>
      <c r="C16" s="12">
        <v>99.57</v>
      </c>
      <c r="D16" s="12">
        <v>99.78</v>
      </c>
      <c r="E16" s="12">
        <v>99.8</v>
      </c>
      <c r="F16" s="12">
        <v>99.8</v>
      </c>
      <c r="G16" s="12">
        <v>99.75</v>
      </c>
      <c r="H16" s="12">
        <v>99.82</v>
      </c>
      <c r="I16" s="12">
        <v>99.86</v>
      </c>
      <c r="J16" s="12">
        <v>99.75</v>
      </c>
      <c r="K16" s="12">
        <v>99.7</v>
      </c>
    </row>
    <row r="17" spans="1:11" x14ac:dyDescent="0.25">
      <c r="A17" s="13" t="s">
        <v>954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0.51</v>
      </c>
      <c r="I17" s="12">
        <v>0.1</v>
      </c>
      <c r="J17" s="12">
        <v>0.15</v>
      </c>
      <c r="K17" s="12">
        <v>0</v>
      </c>
    </row>
    <row r="18" spans="1:11" x14ac:dyDescent="0.25">
      <c r="A18" s="13" t="s">
        <v>955</v>
      </c>
      <c r="B18" s="12">
        <v>0.42</v>
      </c>
      <c r="C18" s="12">
        <v>0.15</v>
      </c>
      <c r="D18" s="12">
        <v>0.19</v>
      </c>
      <c r="E18" s="12">
        <v>0.14000000000000001</v>
      </c>
      <c r="F18" s="12">
        <v>0.19</v>
      </c>
      <c r="G18" s="12">
        <v>0.18</v>
      </c>
      <c r="H18" s="12">
        <v>0.36</v>
      </c>
      <c r="I18" s="12">
        <v>0.51</v>
      </c>
      <c r="J18" s="12">
        <v>0.32</v>
      </c>
      <c r="K18" s="12">
        <v>0.41</v>
      </c>
    </row>
    <row r="19" spans="1:11" x14ac:dyDescent="0.25">
      <c r="A19" s="13" t="s">
        <v>956</v>
      </c>
      <c r="B19" s="12">
        <v>4.93</v>
      </c>
      <c r="C19" s="12">
        <v>0.96</v>
      </c>
      <c r="D19" s="12">
        <v>1.03</v>
      </c>
      <c r="E19" s="12">
        <v>0.44</v>
      </c>
      <c r="F19" s="12">
        <v>0.67</v>
      </c>
      <c r="G19" s="12">
        <v>1.71</v>
      </c>
      <c r="H19" s="12">
        <v>11.63</v>
      </c>
      <c r="I19" s="12">
        <v>20.16</v>
      </c>
      <c r="J19" s="12">
        <v>25.88</v>
      </c>
      <c r="K19" s="12">
        <v>23.98</v>
      </c>
    </row>
    <row r="20" spans="1:11" x14ac:dyDescent="0.25">
      <c r="A20" s="13" t="s">
        <v>957</v>
      </c>
      <c r="B20" s="12">
        <v>5.1283000000000003</v>
      </c>
      <c r="C20" s="12">
        <v>3.2092999999999998</v>
      </c>
      <c r="D20" s="12">
        <v>2.2467000000000001</v>
      </c>
      <c r="E20" s="12">
        <v>1.9935</v>
      </c>
      <c r="F20" s="12">
        <v>2.6827000000000001</v>
      </c>
      <c r="G20" s="12">
        <v>1.9192</v>
      </c>
      <c r="H20" s="12">
        <v>3.2222</v>
      </c>
      <c r="I20" s="12">
        <v>4.3322000000000003</v>
      </c>
      <c r="J20" s="12">
        <v>3.5063</v>
      </c>
      <c r="K20" s="12">
        <v>4.4907000000000004</v>
      </c>
    </row>
    <row r="21" spans="1:11" x14ac:dyDescent="0.25">
      <c r="A21" s="11" t="s">
        <v>967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13" t="s">
        <v>951</v>
      </c>
      <c r="B22" s="12">
        <v>100</v>
      </c>
      <c r="C22" s="12">
        <v>100</v>
      </c>
      <c r="D22" s="12">
        <v>100</v>
      </c>
      <c r="E22" s="12">
        <v>100</v>
      </c>
      <c r="F22" s="12">
        <v>100</v>
      </c>
      <c r="G22" s="12">
        <v>100</v>
      </c>
      <c r="H22" s="12">
        <v>100</v>
      </c>
      <c r="I22" s="12">
        <v>86</v>
      </c>
      <c r="J22" s="12">
        <v>100</v>
      </c>
      <c r="K22" s="12">
        <v>86</v>
      </c>
    </row>
    <row r="23" spans="1:11" x14ac:dyDescent="0.25">
      <c r="A23" s="13" t="s">
        <v>952</v>
      </c>
      <c r="B23" s="12">
        <v>100</v>
      </c>
      <c r="C23" s="12">
        <v>100</v>
      </c>
      <c r="D23" s="12">
        <v>100</v>
      </c>
      <c r="E23" s="12">
        <v>100</v>
      </c>
      <c r="F23" s="12">
        <v>100</v>
      </c>
      <c r="G23" s="12">
        <v>99.73</v>
      </c>
      <c r="H23" s="12">
        <v>99.91</v>
      </c>
      <c r="I23" s="12">
        <v>99.94</v>
      </c>
      <c r="J23" s="12">
        <v>99.73</v>
      </c>
      <c r="K23" s="12">
        <v>99.85</v>
      </c>
    </row>
    <row r="24" spans="1:11" x14ac:dyDescent="0.25">
      <c r="A24" s="13" t="s">
        <v>953</v>
      </c>
      <c r="B24" s="12">
        <v>99.62</v>
      </c>
      <c r="C24" s="12">
        <v>99.4</v>
      </c>
      <c r="D24" s="12">
        <v>99.81</v>
      </c>
      <c r="E24" s="12">
        <v>99.94</v>
      </c>
      <c r="F24" s="12">
        <v>99.91</v>
      </c>
      <c r="G24" s="12">
        <v>99.87</v>
      </c>
      <c r="H24" s="12">
        <v>99.79</v>
      </c>
      <c r="I24" s="12">
        <v>99.79</v>
      </c>
      <c r="J24" s="12">
        <v>99.71</v>
      </c>
      <c r="K24" s="12">
        <v>99.88</v>
      </c>
    </row>
    <row r="25" spans="1:11" x14ac:dyDescent="0.25">
      <c r="A25" s="13" t="s">
        <v>954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0.28999999999999998</v>
      </c>
      <c r="H25" s="12">
        <v>0</v>
      </c>
      <c r="I25" s="12">
        <v>0.26</v>
      </c>
      <c r="J25" s="12">
        <v>0.04</v>
      </c>
      <c r="K25" s="12">
        <v>0.34</v>
      </c>
    </row>
    <row r="26" spans="1:11" x14ac:dyDescent="0.25">
      <c r="A26" s="13" t="s">
        <v>955</v>
      </c>
      <c r="B26" s="12">
        <v>0.19</v>
      </c>
      <c r="C26" s="12">
        <v>0.16</v>
      </c>
      <c r="D26" s="12">
        <v>0.17</v>
      </c>
      <c r="E26" s="12">
        <v>0.1</v>
      </c>
      <c r="F26" s="12">
        <v>0.06</v>
      </c>
      <c r="G26" s="12">
        <v>0.06</v>
      </c>
      <c r="H26" s="12">
        <v>0.11</v>
      </c>
      <c r="I26" s="12">
        <v>0.26</v>
      </c>
      <c r="J26" s="12">
        <v>0.31</v>
      </c>
      <c r="K26" s="12">
        <v>0.37</v>
      </c>
    </row>
    <row r="27" spans="1:11" x14ac:dyDescent="0.25">
      <c r="A27" s="13" t="s">
        <v>956</v>
      </c>
      <c r="B27" s="12">
        <v>7.59</v>
      </c>
      <c r="C27" s="12">
        <v>3.45</v>
      </c>
      <c r="D27" s="12">
        <v>1.57</v>
      </c>
      <c r="E27" s="12">
        <v>0.52</v>
      </c>
      <c r="F27" s="12">
        <v>1.17</v>
      </c>
      <c r="G27" s="12">
        <v>4.2</v>
      </c>
      <c r="H27" s="12">
        <v>17.02</v>
      </c>
      <c r="I27" s="12">
        <v>28.7</v>
      </c>
      <c r="J27" s="12">
        <v>41.61</v>
      </c>
      <c r="K27" s="12">
        <v>42.17</v>
      </c>
    </row>
    <row r="28" spans="1:11" x14ac:dyDescent="0.25">
      <c r="A28" s="13" t="s">
        <v>957</v>
      </c>
      <c r="B28" s="12">
        <v>2.7294999999999998</v>
      </c>
      <c r="C28" s="12">
        <v>2.1951999999999998</v>
      </c>
      <c r="D28" s="12">
        <v>0.96360000000000001</v>
      </c>
      <c r="E28" s="12">
        <v>0.72160000000000002</v>
      </c>
      <c r="F28" s="12">
        <v>1.0537000000000001</v>
      </c>
      <c r="G28" s="12">
        <v>1.5642</v>
      </c>
      <c r="H28" s="12">
        <v>3.0063</v>
      </c>
      <c r="I28" s="12">
        <v>3.5356999999999998</v>
      </c>
      <c r="J28" s="12">
        <v>4.7012</v>
      </c>
      <c r="K28" s="12">
        <v>3.5728</v>
      </c>
    </row>
    <row r="29" spans="1:11" x14ac:dyDescent="0.25">
      <c r="A29" s="11" t="s">
        <v>969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13" t="s">
        <v>951</v>
      </c>
      <c r="B30" s="12">
        <v>100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</row>
    <row r="31" spans="1:11" x14ac:dyDescent="0.25">
      <c r="A31" s="13" t="s">
        <v>952</v>
      </c>
      <c r="B31" s="12">
        <v>99.57</v>
      </c>
      <c r="C31" s="12">
        <v>100</v>
      </c>
      <c r="D31" s="12">
        <v>100</v>
      </c>
      <c r="E31" s="12">
        <v>100</v>
      </c>
      <c r="F31" s="12">
        <v>100</v>
      </c>
      <c r="G31" s="12">
        <v>100</v>
      </c>
      <c r="H31" s="12">
        <v>99.75</v>
      </c>
      <c r="I31" s="12">
        <v>99.77</v>
      </c>
      <c r="J31" s="12">
        <v>100</v>
      </c>
      <c r="K31" s="12">
        <v>99.79</v>
      </c>
    </row>
    <row r="32" spans="1:11" x14ac:dyDescent="0.25">
      <c r="A32" s="13" t="s">
        <v>953</v>
      </c>
      <c r="B32" s="12">
        <v>99.36</v>
      </c>
      <c r="C32" s="12">
        <v>99.89</v>
      </c>
      <c r="D32" s="12">
        <v>99.91</v>
      </c>
      <c r="E32" s="12">
        <v>99.8</v>
      </c>
      <c r="F32" s="12">
        <v>99.9</v>
      </c>
      <c r="G32" s="12">
        <v>99.98</v>
      </c>
      <c r="H32" s="12">
        <v>99.85</v>
      </c>
      <c r="I32" s="12">
        <v>99.88</v>
      </c>
      <c r="J32" s="12">
        <v>99.77</v>
      </c>
      <c r="K32" s="12">
        <v>99.86</v>
      </c>
    </row>
    <row r="33" spans="1:11" x14ac:dyDescent="0.25">
      <c r="A33" s="13" t="s">
        <v>954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0.15</v>
      </c>
    </row>
    <row r="34" spans="1:11" x14ac:dyDescent="0.25">
      <c r="A34" s="13" t="s">
        <v>955</v>
      </c>
      <c r="B34" s="12">
        <v>0.22</v>
      </c>
      <c r="C34" s="12">
        <v>0.2</v>
      </c>
      <c r="D34" s="12">
        <v>0.14000000000000001</v>
      </c>
      <c r="E34" s="12">
        <v>0.12</v>
      </c>
      <c r="F34" s="12">
        <v>0.14000000000000001</v>
      </c>
      <c r="G34" s="12">
        <v>0.06</v>
      </c>
      <c r="H34" s="12">
        <v>0.06</v>
      </c>
      <c r="I34" s="12">
        <v>0.1</v>
      </c>
      <c r="J34" s="12">
        <v>0.23</v>
      </c>
      <c r="K34" s="12">
        <v>0.18</v>
      </c>
    </row>
    <row r="35" spans="1:11" x14ac:dyDescent="0.25">
      <c r="A35" s="13" t="s">
        <v>956</v>
      </c>
      <c r="B35" s="12">
        <v>5.21</v>
      </c>
      <c r="C35" s="12">
        <v>3.82</v>
      </c>
      <c r="D35" s="12">
        <v>0.98</v>
      </c>
      <c r="E35" s="12">
        <v>0.04</v>
      </c>
      <c r="F35" s="12">
        <v>0.26</v>
      </c>
      <c r="G35" s="12">
        <v>0.56000000000000005</v>
      </c>
      <c r="H35" s="12">
        <v>5.51</v>
      </c>
      <c r="I35" s="12">
        <v>14.12</v>
      </c>
      <c r="J35" s="12">
        <v>18.8</v>
      </c>
      <c r="K35" s="12">
        <v>22.6</v>
      </c>
    </row>
    <row r="36" spans="1:11" x14ac:dyDescent="0.25">
      <c r="A36" s="13" t="s">
        <v>957</v>
      </c>
      <c r="B36" s="12">
        <v>2.9066999999999998</v>
      </c>
      <c r="C36" s="12">
        <v>1.0620000000000001</v>
      </c>
      <c r="D36" s="12">
        <v>0.69220000000000004</v>
      </c>
      <c r="E36" s="12">
        <v>0.38969999999999999</v>
      </c>
      <c r="F36" s="12">
        <v>0.49509999999999998</v>
      </c>
      <c r="G36" s="12">
        <v>1.3889</v>
      </c>
      <c r="H36" s="12">
        <v>1.8826000000000001</v>
      </c>
      <c r="I36" s="12">
        <v>2.6387</v>
      </c>
      <c r="J36" s="12">
        <v>3.3736999999999999</v>
      </c>
      <c r="K36" s="12">
        <v>2.7629999999999999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FA3E-F0B2-4331-BE1D-C671BBC16542}">
  <dimension ref="A1:K33"/>
  <sheetViews>
    <sheetView tabSelected="1" workbookViewId="0">
      <selection activeCell="I36" sqref="I36"/>
    </sheetView>
  </sheetViews>
  <sheetFormatPr defaultRowHeight="15" x14ac:dyDescent="0.25"/>
  <cols>
    <col min="1" max="1" width="58.7109375" bestFit="1" customWidth="1"/>
    <col min="2" max="11" width="18.28515625" bestFit="1" customWidth="1"/>
  </cols>
  <sheetData>
    <row r="1" spans="1:11" x14ac:dyDescent="0.25">
      <c r="A1" s="10" t="s">
        <v>950</v>
      </c>
      <c r="B1" s="10" t="s">
        <v>982</v>
      </c>
      <c r="C1" s="10" t="s">
        <v>983</v>
      </c>
      <c r="D1" s="10" t="s">
        <v>984</v>
      </c>
      <c r="E1" s="10" t="s">
        <v>985</v>
      </c>
      <c r="F1" s="10" t="s">
        <v>986</v>
      </c>
      <c r="G1" s="10" t="s">
        <v>987</v>
      </c>
      <c r="H1" s="10" t="s">
        <v>988</v>
      </c>
      <c r="I1" s="10" t="s">
        <v>989</v>
      </c>
      <c r="J1" s="10" t="s">
        <v>990</v>
      </c>
      <c r="K1" s="10" t="s">
        <v>991</v>
      </c>
    </row>
    <row r="2" spans="1:11" x14ac:dyDescent="0.25">
      <c r="A2" s="14" t="s">
        <v>963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5.75" x14ac:dyDescent="0.25">
      <c r="A3" s="13" t="s">
        <v>951</v>
      </c>
      <c r="B3" s="16">
        <v>100</v>
      </c>
      <c r="C3" s="16">
        <v>100</v>
      </c>
      <c r="D3" s="16">
        <v>100</v>
      </c>
      <c r="E3" s="16">
        <v>100</v>
      </c>
      <c r="F3" s="16">
        <v>100</v>
      </c>
      <c r="G3" s="16">
        <v>100</v>
      </c>
      <c r="H3" s="16">
        <v>100</v>
      </c>
      <c r="I3" s="16">
        <v>100</v>
      </c>
      <c r="J3" s="16">
        <v>100</v>
      </c>
      <c r="K3" s="16">
        <v>100</v>
      </c>
    </row>
    <row r="4" spans="1:11" ht="15.75" x14ac:dyDescent="0.25">
      <c r="A4" s="13" t="s">
        <v>952</v>
      </c>
      <c r="B4" s="16">
        <v>100</v>
      </c>
      <c r="C4" s="16">
        <v>100</v>
      </c>
      <c r="D4" s="16">
        <v>100</v>
      </c>
      <c r="E4" s="16">
        <v>100</v>
      </c>
      <c r="F4" s="16">
        <v>100</v>
      </c>
      <c r="G4" s="16">
        <v>100</v>
      </c>
      <c r="H4" s="16">
        <v>100</v>
      </c>
      <c r="I4" s="16">
        <v>99.83</v>
      </c>
      <c r="J4" s="16">
        <v>99.79</v>
      </c>
      <c r="K4" s="16">
        <v>99.76</v>
      </c>
    </row>
    <row r="5" spans="1:11" ht="15.75" x14ac:dyDescent="0.25">
      <c r="A5" s="13" t="s">
        <v>953</v>
      </c>
      <c r="B5" s="17">
        <v>99.42</v>
      </c>
      <c r="C5" s="17">
        <v>99.82</v>
      </c>
      <c r="D5" s="17">
        <v>99.99</v>
      </c>
      <c r="E5" s="17">
        <v>99.9</v>
      </c>
      <c r="F5" s="17">
        <v>99.92</v>
      </c>
      <c r="G5" s="17">
        <v>99.92</v>
      </c>
      <c r="H5" s="17">
        <v>99.94</v>
      </c>
      <c r="I5" s="17">
        <v>99.89</v>
      </c>
      <c r="J5" s="17">
        <v>99.9</v>
      </c>
      <c r="K5" s="17">
        <v>99.87</v>
      </c>
    </row>
    <row r="6" spans="1:11" ht="15.75" x14ac:dyDescent="0.25">
      <c r="A6" s="13" t="s">
        <v>954</v>
      </c>
      <c r="B6" s="18">
        <v>0.42</v>
      </c>
      <c r="C6" s="18">
        <v>0</v>
      </c>
      <c r="D6" s="18">
        <v>0.76</v>
      </c>
      <c r="E6" s="18">
        <v>0</v>
      </c>
      <c r="F6" s="18">
        <v>0</v>
      </c>
      <c r="G6" s="18">
        <v>0</v>
      </c>
      <c r="H6" s="18">
        <v>0</v>
      </c>
      <c r="I6" s="18">
        <v>0.05</v>
      </c>
      <c r="J6" s="18">
        <v>0</v>
      </c>
      <c r="K6" s="18">
        <v>0.03</v>
      </c>
    </row>
    <row r="7" spans="1:11" ht="15.75" x14ac:dyDescent="0.25">
      <c r="A7" s="13" t="s">
        <v>955</v>
      </c>
      <c r="B7" s="19">
        <v>0.15</v>
      </c>
      <c r="C7" s="19">
        <v>0.1</v>
      </c>
      <c r="D7" s="19">
        <v>0.01</v>
      </c>
      <c r="E7" s="19">
        <v>0.28999999999999998</v>
      </c>
      <c r="F7" s="19">
        <v>0.06</v>
      </c>
      <c r="G7" s="19">
        <v>0.05</v>
      </c>
      <c r="H7" s="19">
        <v>0.05</v>
      </c>
      <c r="I7" s="19">
        <v>0.16</v>
      </c>
      <c r="J7" s="19">
        <v>0.09</v>
      </c>
      <c r="K7" s="19">
        <v>0.25</v>
      </c>
    </row>
    <row r="8" spans="1:11" x14ac:dyDescent="0.25">
      <c r="A8" s="13" t="s">
        <v>956</v>
      </c>
      <c r="B8" s="20">
        <v>10.96</v>
      </c>
      <c r="C8" s="20">
        <v>4.45</v>
      </c>
      <c r="D8" s="20">
        <v>3.23</v>
      </c>
      <c r="E8" s="20">
        <v>0.63</v>
      </c>
      <c r="F8" s="20">
        <v>2.19</v>
      </c>
      <c r="G8" s="20">
        <v>3.44</v>
      </c>
      <c r="H8" s="20">
        <v>13.61</v>
      </c>
      <c r="I8" s="20">
        <v>37.32</v>
      </c>
      <c r="J8" s="20">
        <v>42.22</v>
      </c>
      <c r="K8" s="20">
        <v>52.58</v>
      </c>
    </row>
    <row r="9" spans="1:11" x14ac:dyDescent="0.25">
      <c r="A9" s="13" t="s">
        <v>957</v>
      </c>
      <c r="B9" s="20">
        <v>8.6456999999999997</v>
      </c>
      <c r="C9" s="20">
        <v>5.5278</v>
      </c>
      <c r="D9" s="20">
        <v>7.3362999999999996</v>
      </c>
      <c r="E9" s="20">
        <v>2.9653</v>
      </c>
      <c r="F9" s="20">
        <v>1.9710000000000001</v>
      </c>
      <c r="G9" s="20">
        <v>2.7265000000000001</v>
      </c>
      <c r="H9" s="20">
        <v>4.0110000000000001</v>
      </c>
      <c r="I9" s="20">
        <v>6.0900999999999996</v>
      </c>
      <c r="J9" s="20">
        <v>5.2393999999999998</v>
      </c>
      <c r="K9" s="20">
        <v>7.3861999999999997</v>
      </c>
    </row>
    <row r="10" spans="1:11" x14ac:dyDescent="0.25">
      <c r="A10" s="14" t="s">
        <v>965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.75" x14ac:dyDescent="0.25">
      <c r="A11" s="13" t="s">
        <v>951</v>
      </c>
      <c r="B11" s="16">
        <v>100</v>
      </c>
      <c r="C11" s="16">
        <v>100</v>
      </c>
      <c r="D11" s="16">
        <v>100</v>
      </c>
      <c r="E11" s="16">
        <v>100</v>
      </c>
      <c r="F11" s="16">
        <v>100</v>
      </c>
      <c r="G11" s="16">
        <v>100</v>
      </c>
      <c r="H11" s="16">
        <v>100</v>
      </c>
      <c r="I11" s="16">
        <v>100</v>
      </c>
      <c r="J11" s="16">
        <v>100</v>
      </c>
      <c r="K11" s="16">
        <v>100</v>
      </c>
    </row>
    <row r="12" spans="1:11" ht="15.75" x14ac:dyDescent="0.25">
      <c r="A12" s="13" t="s">
        <v>952</v>
      </c>
      <c r="B12" s="16">
        <v>100</v>
      </c>
      <c r="C12" s="16">
        <v>100</v>
      </c>
      <c r="D12" s="16">
        <v>100</v>
      </c>
      <c r="E12" s="16">
        <v>100</v>
      </c>
      <c r="F12" s="16">
        <v>100</v>
      </c>
      <c r="G12" s="16">
        <v>100</v>
      </c>
      <c r="H12" s="16">
        <v>100</v>
      </c>
      <c r="I12" s="16">
        <v>99.71</v>
      </c>
      <c r="J12" s="16">
        <v>99.55</v>
      </c>
      <c r="K12" s="16">
        <v>99.79</v>
      </c>
    </row>
    <row r="13" spans="1:11" ht="15.75" x14ac:dyDescent="0.25">
      <c r="A13" s="13" t="s">
        <v>953</v>
      </c>
      <c r="B13" s="17">
        <v>99.28</v>
      </c>
      <c r="C13" s="17">
        <v>99.57</v>
      </c>
      <c r="D13" s="17">
        <v>99.78</v>
      </c>
      <c r="E13" s="17">
        <v>99.8</v>
      </c>
      <c r="F13" s="17">
        <v>99.8</v>
      </c>
      <c r="G13" s="17">
        <v>99.75</v>
      </c>
      <c r="H13" s="17">
        <v>99.82</v>
      </c>
      <c r="I13" s="17">
        <v>99.86</v>
      </c>
      <c r="J13" s="17">
        <v>99.75</v>
      </c>
      <c r="K13" s="17">
        <v>99.7</v>
      </c>
    </row>
    <row r="14" spans="1:11" ht="15.75" x14ac:dyDescent="0.25">
      <c r="A14" s="13" t="s">
        <v>954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0.51</v>
      </c>
      <c r="I14" s="18">
        <v>0.1</v>
      </c>
      <c r="J14" s="18">
        <v>0.15</v>
      </c>
      <c r="K14" s="18">
        <v>0</v>
      </c>
    </row>
    <row r="15" spans="1:11" ht="15.75" x14ac:dyDescent="0.25">
      <c r="A15" s="13" t="s">
        <v>955</v>
      </c>
      <c r="B15" s="19">
        <v>0.42</v>
      </c>
      <c r="C15" s="19">
        <v>0.15</v>
      </c>
      <c r="D15" s="19">
        <v>0.19</v>
      </c>
      <c r="E15" s="19">
        <v>0.14000000000000001</v>
      </c>
      <c r="F15" s="19">
        <v>0.19</v>
      </c>
      <c r="G15" s="19">
        <v>0.18</v>
      </c>
      <c r="H15" s="19">
        <v>0.36</v>
      </c>
      <c r="I15" s="19">
        <v>0.51</v>
      </c>
      <c r="J15" s="19">
        <v>0.32</v>
      </c>
      <c r="K15" s="19">
        <v>0.41</v>
      </c>
    </row>
    <row r="16" spans="1:11" x14ac:dyDescent="0.25">
      <c r="A16" s="13" t="s">
        <v>956</v>
      </c>
      <c r="B16" s="20">
        <v>4.93</v>
      </c>
      <c r="C16" s="20">
        <v>0.96</v>
      </c>
      <c r="D16" s="20">
        <v>1.03</v>
      </c>
      <c r="E16" s="20">
        <v>0.44</v>
      </c>
      <c r="F16" s="20">
        <v>0.67</v>
      </c>
      <c r="G16" s="20">
        <v>1.71</v>
      </c>
      <c r="H16" s="20">
        <v>11.63</v>
      </c>
      <c r="I16" s="20">
        <v>20.16</v>
      </c>
      <c r="J16" s="20">
        <v>25.88</v>
      </c>
      <c r="K16" s="20">
        <v>23.98</v>
      </c>
    </row>
    <row r="17" spans="1:11" x14ac:dyDescent="0.25">
      <c r="A17" s="13" t="s">
        <v>957</v>
      </c>
      <c r="B17" s="20">
        <v>5.1283000000000003</v>
      </c>
      <c r="C17" s="20">
        <v>3.2092999999999998</v>
      </c>
      <c r="D17" s="20">
        <v>2.2467000000000001</v>
      </c>
      <c r="E17" s="20">
        <v>1.9935</v>
      </c>
      <c r="F17" s="20">
        <v>2.6827000000000001</v>
      </c>
      <c r="G17" s="20">
        <v>1.9192</v>
      </c>
      <c r="H17" s="20">
        <v>3.2222</v>
      </c>
      <c r="I17" s="20">
        <v>4.3322000000000003</v>
      </c>
      <c r="J17" s="20">
        <v>3.5063</v>
      </c>
      <c r="K17" s="20">
        <v>4.4907000000000004</v>
      </c>
    </row>
    <row r="18" spans="1:11" x14ac:dyDescent="0.25">
      <c r="A18" s="14" t="s">
        <v>967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.75" x14ac:dyDescent="0.25">
      <c r="A19" s="13" t="s">
        <v>951</v>
      </c>
      <c r="B19" s="16">
        <v>100</v>
      </c>
      <c r="C19" s="16">
        <v>100</v>
      </c>
      <c r="D19" s="16">
        <v>100</v>
      </c>
      <c r="E19" s="16">
        <v>100</v>
      </c>
      <c r="F19" s="16">
        <v>100</v>
      </c>
      <c r="G19" s="16">
        <v>100</v>
      </c>
      <c r="H19" s="16">
        <v>100</v>
      </c>
      <c r="I19" s="16">
        <v>86</v>
      </c>
      <c r="J19" s="16">
        <v>100</v>
      </c>
      <c r="K19" s="16">
        <v>86</v>
      </c>
    </row>
    <row r="20" spans="1:11" ht="15.75" x14ac:dyDescent="0.25">
      <c r="A20" s="13" t="s">
        <v>952</v>
      </c>
      <c r="B20" s="16">
        <v>100</v>
      </c>
      <c r="C20" s="16">
        <v>100</v>
      </c>
      <c r="D20" s="16">
        <v>100</v>
      </c>
      <c r="E20" s="16">
        <v>100</v>
      </c>
      <c r="F20" s="16">
        <v>100</v>
      </c>
      <c r="G20" s="16">
        <v>99.73</v>
      </c>
      <c r="H20" s="16">
        <v>99.91</v>
      </c>
      <c r="I20" s="16">
        <v>99.94</v>
      </c>
      <c r="J20" s="16">
        <v>99.73</v>
      </c>
      <c r="K20" s="16">
        <v>99.85</v>
      </c>
    </row>
    <row r="21" spans="1:11" ht="15.75" x14ac:dyDescent="0.25">
      <c r="A21" s="13" t="s">
        <v>953</v>
      </c>
      <c r="B21" s="17">
        <v>99.62</v>
      </c>
      <c r="C21" s="17">
        <v>99.4</v>
      </c>
      <c r="D21" s="17">
        <v>99.81</v>
      </c>
      <c r="E21" s="17">
        <v>99.94</v>
      </c>
      <c r="F21" s="17">
        <v>99.91</v>
      </c>
      <c r="G21" s="17">
        <v>99.87</v>
      </c>
      <c r="H21" s="17">
        <v>99.79</v>
      </c>
      <c r="I21" s="17">
        <v>99.79</v>
      </c>
      <c r="J21" s="17">
        <v>99.71</v>
      </c>
      <c r="K21" s="17">
        <v>99.88</v>
      </c>
    </row>
    <row r="22" spans="1:11" ht="15.75" x14ac:dyDescent="0.25">
      <c r="A22" s="13" t="s">
        <v>954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0.28999999999999998</v>
      </c>
      <c r="H22" s="18">
        <v>0</v>
      </c>
      <c r="I22" s="18">
        <v>0.26</v>
      </c>
      <c r="J22" s="18">
        <v>0.04</v>
      </c>
      <c r="K22" s="18">
        <v>0.34</v>
      </c>
    </row>
    <row r="23" spans="1:11" ht="15.75" x14ac:dyDescent="0.25">
      <c r="A23" s="13" t="s">
        <v>955</v>
      </c>
      <c r="B23" s="19">
        <v>0.19</v>
      </c>
      <c r="C23" s="19">
        <v>0.16</v>
      </c>
      <c r="D23" s="19">
        <v>0.17</v>
      </c>
      <c r="E23" s="19">
        <v>0.1</v>
      </c>
      <c r="F23" s="19">
        <v>0.06</v>
      </c>
      <c r="G23" s="19">
        <v>0.06</v>
      </c>
      <c r="H23" s="19">
        <v>0.11</v>
      </c>
      <c r="I23" s="19">
        <v>0.26</v>
      </c>
      <c r="J23" s="19">
        <v>0.31</v>
      </c>
      <c r="K23" s="19">
        <v>0.37</v>
      </c>
    </row>
    <row r="24" spans="1:11" x14ac:dyDescent="0.25">
      <c r="A24" s="13" t="s">
        <v>956</v>
      </c>
      <c r="B24" s="20">
        <v>7.59</v>
      </c>
      <c r="C24" s="20">
        <v>3.45</v>
      </c>
      <c r="D24" s="20">
        <v>1.57</v>
      </c>
      <c r="E24" s="20">
        <v>0.52</v>
      </c>
      <c r="F24" s="20">
        <v>1.17</v>
      </c>
      <c r="G24" s="20">
        <v>4.2</v>
      </c>
      <c r="H24" s="20">
        <v>17.02</v>
      </c>
      <c r="I24" s="20">
        <v>28.7</v>
      </c>
      <c r="J24" s="20">
        <v>41.61</v>
      </c>
      <c r="K24" s="20">
        <v>42.17</v>
      </c>
    </row>
    <row r="25" spans="1:11" x14ac:dyDescent="0.25">
      <c r="A25" s="13" t="s">
        <v>957</v>
      </c>
      <c r="B25" s="20">
        <v>2.7294999999999998</v>
      </c>
      <c r="C25" s="20">
        <v>2.1951999999999998</v>
      </c>
      <c r="D25" s="20">
        <v>0.96360000000000001</v>
      </c>
      <c r="E25" s="20">
        <v>0.72160000000000002</v>
      </c>
      <c r="F25" s="20">
        <v>1.0537000000000001</v>
      </c>
      <c r="G25" s="20">
        <v>1.5642</v>
      </c>
      <c r="H25" s="20">
        <v>3.0063</v>
      </c>
      <c r="I25" s="20">
        <v>3.5356999999999998</v>
      </c>
      <c r="J25" s="20">
        <v>4.7012</v>
      </c>
      <c r="K25" s="20">
        <v>3.5728</v>
      </c>
    </row>
    <row r="26" spans="1:11" x14ac:dyDescent="0.25">
      <c r="A26" s="14" t="s">
        <v>969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.75" x14ac:dyDescent="0.25">
      <c r="A27" s="13" t="s">
        <v>951</v>
      </c>
      <c r="B27" s="16">
        <v>100</v>
      </c>
      <c r="C27" s="16">
        <v>100</v>
      </c>
      <c r="D27" s="16">
        <v>100</v>
      </c>
      <c r="E27" s="16">
        <v>100</v>
      </c>
      <c r="F27" s="16">
        <v>100</v>
      </c>
      <c r="G27" s="16">
        <v>100</v>
      </c>
      <c r="H27" s="16">
        <v>100</v>
      </c>
      <c r="I27" s="16">
        <v>100</v>
      </c>
      <c r="J27" s="16">
        <v>100</v>
      </c>
      <c r="K27" s="16">
        <v>100</v>
      </c>
    </row>
    <row r="28" spans="1:11" ht="15.75" x14ac:dyDescent="0.25">
      <c r="A28" s="13" t="s">
        <v>952</v>
      </c>
      <c r="B28" s="16">
        <v>99.57</v>
      </c>
      <c r="C28" s="16">
        <v>100</v>
      </c>
      <c r="D28" s="16">
        <v>100</v>
      </c>
      <c r="E28" s="16">
        <v>100</v>
      </c>
      <c r="F28" s="16">
        <v>100</v>
      </c>
      <c r="G28" s="16">
        <v>100</v>
      </c>
      <c r="H28" s="16">
        <v>99.75</v>
      </c>
      <c r="I28" s="16">
        <v>99.77</v>
      </c>
      <c r="J28" s="16">
        <v>100</v>
      </c>
      <c r="K28" s="16">
        <v>99.79</v>
      </c>
    </row>
    <row r="29" spans="1:11" ht="15.75" x14ac:dyDescent="0.25">
      <c r="A29" s="13" t="s">
        <v>953</v>
      </c>
      <c r="B29" s="17">
        <v>99.36</v>
      </c>
      <c r="C29" s="17">
        <v>99.89</v>
      </c>
      <c r="D29" s="17">
        <v>99.91</v>
      </c>
      <c r="E29" s="17">
        <v>99.8</v>
      </c>
      <c r="F29" s="17">
        <v>99.9</v>
      </c>
      <c r="G29" s="17">
        <v>99.98</v>
      </c>
      <c r="H29" s="17">
        <v>99.85</v>
      </c>
      <c r="I29" s="17">
        <v>99.88</v>
      </c>
      <c r="J29" s="17">
        <v>99.77</v>
      </c>
      <c r="K29" s="17">
        <v>99.86</v>
      </c>
    </row>
    <row r="30" spans="1:11" ht="15.75" x14ac:dyDescent="0.25">
      <c r="A30" s="13" t="s">
        <v>954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0.15</v>
      </c>
    </row>
    <row r="31" spans="1:11" ht="15.75" x14ac:dyDescent="0.25">
      <c r="A31" s="13" t="s">
        <v>955</v>
      </c>
      <c r="B31" s="19">
        <v>0.22</v>
      </c>
      <c r="C31" s="19">
        <v>0.2</v>
      </c>
      <c r="D31" s="19">
        <v>0.14000000000000001</v>
      </c>
      <c r="E31" s="19">
        <v>0.12</v>
      </c>
      <c r="F31" s="19">
        <v>0.14000000000000001</v>
      </c>
      <c r="G31" s="19">
        <v>0.06</v>
      </c>
      <c r="H31" s="19">
        <v>0.06</v>
      </c>
      <c r="I31" s="19">
        <v>0.1</v>
      </c>
      <c r="J31" s="19">
        <v>0.23</v>
      </c>
      <c r="K31" s="19">
        <v>0.18</v>
      </c>
    </row>
    <row r="32" spans="1:11" x14ac:dyDescent="0.25">
      <c r="A32" s="13" t="s">
        <v>956</v>
      </c>
      <c r="B32" s="20">
        <v>5.21</v>
      </c>
      <c r="C32" s="20">
        <v>3.82</v>
      </c>
      <c r="D32" s="20">
        <v>0.98</v>
      </c>
      <c r="E32" s="20">
        <v>0.04</v>
      </c>
      <c r="F32" s="20">
        <v>0.26</v>
      </c>
      <c r="G32" s="20">
        <v>0.56000000000000005</v>
      </c>
      <c r="H32" s="20">
        <v>5.51</v>
      </c>
      <c r="I32" s="20">
        <v>14.12</v>
      </c>
      <c r="J32" s="20">
        <v>18.8</v>
      </c>
      <c r="K32" s="20">
        <v>22.6</v>
      </c>
    </row>
    <row r="33" spans="1:11" x14ac:dyDescent="0.25">
      <c r="A33" s="13" t="s">
        <v>957</v>
      </c>
      <c r="B33" s="20">
        <v>2.9066999999999998</v>
      </c>
      <c r="C33" s="20">
        <v>1.0620000000000001</v>
      </c>
      <c r="D33" s="20">
        <v>0.69220000000000004</v>
      </c>
      <c r="E33" s="20">
        <v>0.38969999999999999</v>
      </c>
      <c r="F33" s="20">
        <v>0.49509999999999998</v>
      </c>
      <c r="G33" s="20">
        <v>1.3889</v>
      </c>
      <c r="H33" s="20">
        <v>1.8826000000000001</v>
      </c>
      <c r="I33" s="20">
        <v>2.6387</v>
      </c>
      <c r="J33" s="20">
        <v>3.3736999999999999</v>
      </c>
      <c r="K33" s="20">
        <v>2.7629999999999999</v>
      </c>
    </row>
  </sheetData>
  <conditionalFormatting sqref="B3:J3">
    <cfRule type="cellIs" dxfId="38" priority="52" operator="greaterThan">
      <formula>98.5</formula>
    </cfRule>
  </conditionalFormatting>
  <conditionalFormatting sqref="B3:J3">
    <cfRule type="cellIs" dxfId="37" priority="51" operator="lessThan">
      <formula>98.5</formula>
    </cfRule>
  </conditionalFormatting>
  <conditionalFormatting sqref="B4:J4">
    <cfRule type="cellIs" dxfId="36" priority="50" operator="greaterThan">
      <formula>98.5</formula>
    </cfRule>
  </conditionalFormatting>
  <conditionalFormatting sqref="B4:J4">
    <cfRule type="cellIs" dxfId="35" priority="49" operator="lessThan">
      <formula>98.5</formula>
    </cfRule>
  </conditionalFormatting>
  <conditionalFormatting sqref="B6:J7">
    <cfRule type="cellIs" dxfId="34" priority="48" operator="greaterThan">
      <formula>0.7</formula>
    </cfRule>
  </conditionalFormatting>
  <conditionalFormatting sqref="B6:J7">
    <cfRule type="cellIs" dxfId="33" priority="47" operator="lessThan">
      <formula>0.7</formula>
    </cfRule>
  </conditionalFormatting>
  <conditionalFormatting sqref="B5:J5">
    <cfRule type="cellIs" dxfId="32" priority="45" operator="lessThan">
      <formula>98.5</formula>
    </cfRule>
    <cfRule type="cellIs" dxfId="31" priority="46" operator="greaterThan">
      <formula>98.5</formula>
    </cfRule>
  </conditionalFormatting>
  <conditionalFormatting sqref="B5:J5">
    <cfRule type="cellIs" dxfId="30" priority="43" operator="greaterThan">
      <formula>98.8</formula>
    </cfRule>
    <cfRule type="cellIs" dxfId="29" priority="44" operator="lessThan">
      <formula>98.8</formula>
    </cfRule>
  </conditionalFormatting>
  <conditionalFormatting sqref="B5:J5">
    <cfRule type="cellIs" dxfId="28" priority="40" operator="lessThan">
      <formula>98.8</formula>
    </cfRule>
    <cfRule type="cellIs" dxfId="27" priority="41" operator="equal">
      <formula>98.8</formula>
    </cfRule>
    <cfRule type="cellIs" dxfId="26" priority="42" operator="greaterThan">
      <formula>98.8</formula>
    </cfRule>
  </conditionalFormatting>
  <conditionalFormatting sqref="B11:K11 B19:K19 B27:K27">
    <cfRule type="cellIs" dxfId="25" priority="39" operator="greaterThan">
      <formula>98.5</formula>
    </cfRule>
  </conditionalFormatting>
  <conditionalFormatting sqref="B11:K11 B19:K19 B27:K27">
    <cfRule type="cellIs" dxfId="24" priority="38" operator="lessThan">
      <formula>98.5</formula>
    </cfRule>
  </conditionalFormatting>
  <conditionalFormatting sqref="B12:K12 B20:K20 B28:K28">
    <cfRule type="cellIs" dxfId="23" priority="37" operator="greaterThan">
      <formula>98.5</formula>
    </cfRule>
  </conditionalFormatting>
  <conditionalFormatting sqref="B12:K12 B20:K20 B28:K28">
    <cfRule type="cellIs" dxfId="22" priority="36" operator="lessThan">
      <formula>98.5</formula>
    </cfRule>
  </conditionalFormatting>
  <conditionalFormatting sqref="B14:K15 B22:K23 B30:K31">
    <cfRule type="cellIs" dxfId="21" priority="35" operator="greaterThan">
      <formula>0.7</formula>
    </cfRule>
  </conditionalFormatting>
  <conditionalFormatting sqref="B14:K15 B22:K23 B30:K31">
    <cfRule type="cellIs" dxfId="20" priority="34" operator="lessThan">
      <formula>0.7</formula>
    </cfRule>
  </conditionalFormatting>
  <conditionalFormatting sqref="B13:K13 B21:K21 B29:K29">
    <cfRule type="cellIs" dxfId="19" priority="32" operator="lessThan">
      <formula>98.5</formula>
    </cfRule>
    <cfRule type="cellIs" dxfId="18" priority="33" operator="greaterThan">
      <formula>98.5</formula>
    </cfRule>
  </conditionalFormatting>
  <conditionalFormatting sqref="B13:K13 B21:K21 B29:K29">
    <cfRule type="cellIs" dxfId="17" priority="30" operator="greaterThan">
      <formula>98.8</formula>
    </cfRule>
    <cfRule type="cellIs" dxfId="16" priority="31" operator="lessThan">
      <formula>98.8</formula>
    </cfRule>
  </conditionalFormatting>
  <conditionalFormatting sqref="B13:K13 B21:K21 B29:K29">
    <cfRule type="cellIs" dxfId="15" priority="27" operator="lessThan">
      <formula>98.8</formula>
    </cfRule>
    <cfRule type="cellIs" dxfId="14" priority="28" operator="equal">
      <formula>98.8</formula>
    </cfRule>
    <cfRule type="cellIs" dxfId="13" priority="29" operator="greaterThan">
      <formula>98.8</formula>
    </cfRule>
  </conditionalFormatting>
  <conditionalFormatting sqref="K3">
    <cfRule type="cellIs" dxfId="12" priority="13" operator="greaterThan">
      <formula>98.5</formula>
    </cfRule>
  </conditionalFormatting>
  <conditionalFormatting sqref="K3">
    <cfRule type="cellIs" dxfId="11" priority="12" operator="lessThan">
      <formula>98.5</formula>
    </cfRule>
  </conditionalFormatting>
  <conditionalFormatting sqref="K4">
    <cfRule type="cellIs" dxfId="10" priority="11" operator="greaterThan">
      <formula>98.5</formula>
    </cfRule>
  </conditionalFormatting>
  <conditionalFormatting sqref="K4">
    <cfRule type="cellIs" dxfId="9" priority="10" operator="lessThan">
      <formula>98.5</formula>
    </cfRule>
  </conditionalFormatting>
  <conditionalFormatting sqref="K6:K7">
    <cfRule type="cellIs" dxfId="8" priority="9" operator="greaterThan">
      <formula>0.7</formula>
    </cfRule>
  </conditionalFormatting>
  <conditionalFormatting sqref="K6:K7">
    <cfRule type="cellIs" dxfId="7" priority="8" operator="lessThan">
      <formula>0.7</formula>
    </cfRule>
  </conditionalFormatting>
  <conditionalFormatting sqref="K5">
    <cfRule type="cellIs" dxfId="6" priority="6" operator="lessThan">
      <formula>98.5</formula>
    </cfRule>
    <cfRule type="cellIs" dxfId="5" priority="7" operator="greaterThan">
      <formula>98.5</formula>
    </cfRule>
  </conditionalFormatting>
  <conditionalFormatting sqref="K5">
    <cfRule type="cellIs" dxfId="4" priority="4" operator="greaterThan">
      <formula>98.8</formula>
    </cfRule>
    <cfRule type="cellIs" dxfId="3" priority="5" operator="lessThan">
      <formula>98.8</formula>
    </cfRule>
  </conditionalFormatting>
  <conditionalFormatting sqref="K5">
    <cfRule type="cellIs" dxfId="2" priority="1" operator="lessThan">
      <formula>98.8</formula>
    </cfRule>
    <cfRule type="cellIs" dxfId="1" priority="2" operator="equal">
      <formula>98.8</formula>
    </cfRule>
    <cfRule type="cellIs" dxfId="0" priority="3" operator="greaterThan">
      <formula>98.8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6"/>
  <sheetViews>
    <sheetView topLeftCell="A77" workbookViewId="0">
      <selection activeCell="H101" sqref="H101"/>
    </sheetView>
  </sheetViews>
  <sheetFormatPr defaultRowHeight="15" x14ac:dyDescent="0.25"/>
  <cols>
    <col min="1" max="1" width="18.285156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7" t="s">
        <v>948</v>
      </c>
    </row>
    <row r="2" spans="1:48" ht="16.5" x14ac:dyDescent="0.3">
      <c r="A2" s="22" t="s">
        <v>960</v>
      </c>
      <c r="B2" s="22" t="s">
        <v>961</v>
      </c>
      <c r="C2" s="22" t="s">
        <v>47</v>
      </c>
      <c r="D2" s="22" t="s">
        <v>958</v>
      </c>
      <c r="E2" s="22" t="s">
        <v>959</v>
      </c>
      <c r="F2" s="22" t="s">
        <v>958</v>
      </c>
      <c r="G2" s="22" t="s">
        <v>959</v>
      </c>
      <c r="H2" s="22" t="s">
        <v>962</v>
      </c>
      <c r="I2" s="22" t="s">
        <v>963</v>
      </c>
      <c r="J2" s="23">
        <v>1</v>
      </c>
      <c r="K2" s="24">
        <v>48.75</v>
      </c>
      <c r="L2" s="25">
        <v>6.0321999999999996</v>
      </c>
      <c r="M2" s="24">
        <v>99.77</v>
      </c>
      <c r="N2" s="24">
        <v>99.87</v>
      </c>
      <c r="O2" s="24">
        <v>99.86</v>
      </c>
      <c r="P2" s="24">
        <v>99.86</v>
      </c>
      <c r="Q2" s="24">
        <v>0.1</v>
      </c>
      <c r="R2" s="24">
        <v>0.19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3">
        <v>0</v>
      </c>
      <c r="Y2" s="23">
        <v>0</v>
      </c>
      <c r="Z2" s="27">
        <v>0.57120000000000004</v>
      </c>
      <c r="AA2" s="27">
        <v>0.3735</v>
      </c>
      <c r="AB2" s="27">
        <v>0.24030000000000001</v>
      </c>
      <c r="AC2" s="27">
        <v>5.0000000000000001E-4</v>
      </c>
      <c r="AD2" s="24">
        <v>-10.37</v>
      </c>
      <c r="AE2" s="24">
        <v>-93.76</v>
      </c>
      <c r="AF2" s="24">
        <v>99.95</v>
      </c>
      <c r="AG2" s="24">
        <v>77.78</v>
      </c>
      <c r="AI2" s="23">
        <v>1</v>
      </c>
      <c r="AJ2" s="27">
        <v>2.9999999999999997E-4</v>
      </c>
      <c r="AK2" s="26">
        <v>309</v>
      </c>
      <c r="AL2" s="26">
        <v>0</v>
      </c>
      <c r="AM2" s="26">
        <v>0</v>
      </c>
      <c r="AN2" s="26">
        <v>0</v>
      </c>
      <c r="AO2" s="26">
        <v>30</v>
      </c>
      <c r="AP2" s="23">
        <v>1</v>
      </c>
      <c r="AQ2" s="27">
        <v>0.13930000000000001</v>
      </c>
      <c r="AR2" s="26">
        <v>789501600</v>
      </c>
      <c r="AS2" s="25">
        <v>73.201599999999999</v>
      </c>
      <c r="AT2" s="25">
        <v>389.02910000000003</v>
      </c>
      <c r="AU2" s="25">
        <v>1260.2389000000001</v>
      </c>
      <c r="AV2">
        <f>J2*100</f>
        <v>100</v>
      </c>
    </row>
    <row r="3" spans="1:48" ht="16.5" x14ac:dyDescent="0.3">
      <c r="A3" s="22" t="s">
        <v>960</v>
      </c>
      <c r="B3" s="22" t="s">
        <v>961</v>
      </c>
      <c r="C3" s="22" t="s">
        <v>47</v>
      </c>
      <c r="D3" s="22" t="s">
        <v>958</v>
      </c>
      <c r="E3" s="22" t="s">
        <v>959</v>
      </c>
      <c r="F3" s="22" t="s">
        <v>958</v>
      </c>
      <c r="G3" s="22" t="s">
        <v>959</v>
      </c>
      <c r="H3" s="22" t="s">
        <v>964</v>
      </c>
      <c r="I3" s="22" t="s">
        <v>965</v>
      </c>
      <c r="J3" s="23">
        <v>1</v>
      </c>
      <c r="K3" s="24">
        <v>23.17</v>
      </c>
      <c r="L3" s="25">
        <v>3.1810999999999998</v>
      </c>
      <c r="M3" s="24">
        <v>99.72</v>
      </c>
      <c r="N3" s="24">
        <v>99.7</v>
      </c>
      <c r="O3" s="24">
        <v>99.7</v>
      </c>
      <c r="P3" s="24">
        <v>99.7</v>
      </c>
      <c r="Q3" s="26">
        <v>0</v>
      </c>
      <c r="R3" s="24">
        <v>0.28000000000000003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3">
        <v>0</v>
      </c>
      <c r="Y3" s="23">
        <v>0</v>
      </c>
      <c r="Z3" s="27">
        <v>0.375</v>
      </c>
      <c r="AA3" s="27">
        <v>8.5500000000000007E-2</v>
      </c>
      <c r="AB3" s="27">
        <v>0.1802</v>
      </c>
      <c r="AC3" s="27">
        <v>5.0000000000000001E-4</v>
      </c>
      <c r="AD3" s="24">
        <v>-9.65</v>
      </c>
      <c r="AE3" s="24">
        <v>-98.81</v>
      </c>
      <c r="AF3" s="24">
        <v>99.9</v>
      </c>
      <c r="AG3" s="26">
        <v>100</v>
      </c>
      <c r="AH3" s="26">
        <v>100</v>
      </c>
      <c r="AI3" s="23">
        <v>1</v>
      </c>
      <c r="AJ3" s="27">
        <v>1E-3</v>
      </c>
      <c r="AK3" s="26">
        <v>298</v>
      </c>
      <c r="AL3" s="26">
        <v>0</v>
      </c>
      <c r="AM3" s="26">
        <v>0</v>
      </c>
      <c r="AN3" s="26">
        <v>0</v>
      </c>
      <c r="AO3" s="26">
        <v>25</v>
      </c>
      <c r="AP3" s="23">
        <v>1</v>
      </c>
      <c r="AQ3" s="27">
        <v>3.8300000000000001E-2</v>
      </c>
      <c r="AR3" s="26">
        <v>789501600</v>
      </c>
      <c r="AS3" s="25">
        <v>41.011699999999998</v>
      </c>
      <c r="AT3" s="25">
        <v>224.36510000000001</v>
      </c>
      <c r="AU3" s="25">
        <v>664.32740000000001</v>
      </c>
      <c r="AV3">
        <f t="shared" ref="AV3:AV66" si="0">J3*100</f>
        <v>100</v>
      </c>
    </row>
    <row r="4" spans="1:48" ht="16.5" x14ac:dyDescent="0.3">
      <c r="A4" s="22" t="s">
        <v>960</v>
      </c>
      <c r="B4" s="22" t="s">
        <v>961</v>
      </c>
      <c r="C4" s="22" t="s">
        <v>47</v>
      </c>
      <c r="D4" s="22" t="s">
        <v>958</v>
      </c>
      <c r="E4" s="22" t="s">
        <v>959</v>
      </c>
      <c r="F4" s="22" t="s">
        <v>958</v>
      </c>
      <c r="G4" s="22" t="s">
        <v>959</v>
      </c>
      <c r="H4" s="22" t="s">
        <v>966</v>
      </c>
      <c r="I4" s="22" t="s">
        <v>967</v>
      </c>
      <c r="J4" s="23">
        <v>1</v>
      </c>
      <c r="K4" s="24">
        <v>53.45</v>
      </c>
      <c r="L4" s="25">
        <v>4.9916</v>
      </c>
      <c r="M4" s="24">
        <v>99.82</v>
      </c>
      <c r="N4" s="24">
        <v>99.75</v>
      </c>
      <c r="O4" s="24">
        <v>99.75</v>
      </c>
      <c r="P4" s="24">
        <v>99.76</v>
      </c>
      <c r="Q4" s="24">
        <v>0.12</v>
      </c>
      <c r="R4" s="24">
        <v>0.24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3">
        <v>0</v>
      </c>
      <c r="Y4" s="27">
        <v>6.9999999999999999E-4</v>
      </c>
      <c r="Z4" s="27">
        <v>0.46760000000000002</v>
      </c>
      <c r="AA4" s="27">
        <v>0.1593</v>
      </c>
      <c r="AB4" s="27">
        <v>0.25530000000000003</v>
      </c>
      <c r="AC4" s="27">
        <v>8.0000000000000004E-4</v>
      </c>
      <c r="AD4" s="24">
        <v>-9.44</v>
      </c>
      <c r="AE4" s="24">
        <v>-92.02</v>
      </c>
      <c r="AF4" s="24">
        <v>99.97</v>
      </c>
      <c r="AG4" s="24">
        <v>92.86</v>
      </c>
      <c r="AH4" s="24">
        <v>66.67</v>
      </c>
      <c r="AI4" s="23">
        <v>1</v>
      </c>
      <c r="AJ4" s="27">
        <v>2.8999999999999998E-3</v>
      </c>
      <c r="AK4" s="26">
        <v>181</v>
      </c>
      <c r="AL4" s="26">
        <v>0</v>
      </c>
      <c r="AM4" s="26">
        <v>0</v>
      </c>
      <c r="AN4" s="26">
        <v>0</v>
      </c>
      <c r="AO4" s="26">
        <v>36</v>
      </c>
      <c r="AP4" s="23">
        <v>1</v>
      </c>
      <c r="AQ4" s="27">
        <v>6.0199999999999997E-2</v>
      </c>
      <c r="AR4" s="26">
        <v>789501600</v>
      </c>
      <c r="AS4" s="25">
        <v>65.943399999999997</v>
      </c>
      <c r="AT4" s="25">
        <v>256.11309999999997</v>
      </c>
      <c r="AU4" s="25">
        <v>1132.2556</v>
      </c>
      <c r="AV4">
        <f t="shared" si="0"/>
        <v>100</v>
      </c>
    </row>
    <row r="5" spans="1:48" ht="16.5" x14ac:dyDescent="0.3">
      <c r="A5" s="22" t="s">
        <v>960</v>
      </c>
      <c r="B5" s="22" t="s">
        <v>961</v>
      </c>
      <c r="C5" s="22" t="s">
        <v>47</v>
      </c>
      <c r="D5" s="22" t="s">
        <v>958</v>
      </c>
      <c r="E5" s="22" t="s">
        <v>959</v>
      </c>
      <c r="F5" s="22" t="s">
        <v>958</v>
      </c>
      <c r="G5" s="22" t="s">
        <v>959</v>
      </c>
      <c r="H5" s="22" t="s">
        <v>968</v>
      </c>
      <c r="I5" s="22" t="s">
        <v>969</v>
      </c>
      <c r="J5" s="23">
        <v>1</v>
      </c>
      <c r="K5" s="24">
        <v>18.39</v>
      </c>
      <c r="L5" s="25">
        <v>2.5750999999999999</v>
      </c>
      <c r="M5" s="24">
        <v>99.66</v>
      </c>
      <c r="N5" s="24">
        <v>99.85</v>
      </c>
      <c r="O5" s="24">
        <v>99.83</v>
      </c>
      <c r="P5" s="24">
        <v>99.83</v>
      </c>
      <c r="Q5" s="24">
        <v>0.09</v>
      </c>
      <c r="R5" s="24">
        <v>0.2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3">
        <v>0</v>
      </c>
      <c r="Y5" s="23">
        <v>0</v>
      </c>
      <c r="Z5" s="27">
        <v>0.28299999999999997</v>
      </c>
      <c r="AA5" s="27">
        <v>8.2900000000000001E-2</v>
      </c>
      <c r="AB5" s="27">
        <v>0.23549999999999999</v>
      </c>
      <c r="AC5" s="27">
        <v>5.0000000000000001E-4</v>
      </c>
      <c r="AD5" s="24">
        <v>-7.91</v>
      </c>
      <c r="AE5" s="24">
        <v>-98.92</v>
      </c>
      <c r="AF5" s="24">
        <v>99.91</v>
      </c>
      <c r="AG5" s="26">
        <v>100</v>
      </c>
      <c r="AH5" s="26">
        <v>100</v>
      </c>
      <c r="AI5" s="23">
        <v>1</v>
      </c>
      <c r="AJ5" s="27">
        <v>2.0000000000000001E-4</v>
      </c>
      <c r="AK5" s="26">
        <v>67</v>
      </c>
      <c r="AL5" s="26">
        <v>0</v>
      </c>
      <c r="AM5" s="26">
        <v>0</v>
      </c>
      <c r="AN5" s="26">
        <v>0</v>
      </c>
      <c r="AO5" s="26">
        <v>25</v>
      </c>
      <c r="AP5" s="23">
        <v>1</v>
      </c>
      <c r="AQ5" s="27">
        <v>3.1399999999999997E-2</v>
      </c>
      <c r="AR5" s="26">
        <v>789501600</v>
      </c>
      <c r="AS5" s="25">
        <v>31.013300000000001</v>
      </c>
      <c r="AT5" s="25">
        <v>118.697</v>
      </c>
      <c r="AU5" s="25">
        <v>590.98599999999999</v>
      </c>
      <c r="AV5">
        <f t="shared" si="0"/>
        <v>100</v>
      </c>
    </row>
    <row r="6" spans="1:48" ht="16.5" x14ac:dyDescent="0.3">
      <c r="A6" s="22" t="s">
        <v>961</v>
      </c>
      <c r="B6" s="22" t="s">
        <v>970</v>
      </c>
      <c r="C6" s="22" t="s">
        <v>47</v>
      </c>
      <c r="D6" s="22" t="s">
        <v>958</v>
      </c>
      <c r="E6" s="22" t="s">
        <v>959</v>
      </c>
      <c r="F6" s="22" t="s">
        <v>958</v>
      </c>
      <c r="G6" s="22" t="s">
        <v>959</v>
      </c>
      <c r="H6" s="22" t="s">
        <v>962</v>
      </c>
      <c r="I6" s="22" t="s">
        <v>963</v>
      </c>
      <c r="J6" s="23">
        <v>1</v>
      </c>
      <c r="K6" s="24">
        <v>43.1</v>
      </c>
      <c r="L6" s="25">
        <v>7.4913999999999996</v>
      </c>
      <c r="M6" s="24">
        <v>99.73</v>
      </c>
      <c r="N6" s="24">
        <v>99.74</v>
      </c>
      <c r="O6" s="24">
        <v>99.74</v>
      </c>
      <c r="P6" s="24">
        <v>99.74</v>
      </c>
      <c r="Q6" s="24">
        <v>0.11</v>
      </c>
      <c r="R6" s="24">
        <v>0.19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3">
        <v>0</v>
      </c>
      <c r="Y6" s="23">
        <v>0</v>
      </c>
      <c r="Z6" s="27">
        <v>0.67859999999999998</v>
      </c>
      <c r="AA6" s="27">
        <v>0.41239999999999999</v>
      </c>
      <c r="AB6" s="27">
        <v>0.23649999999999999</v>
      </c>
      <c r="AC6" s="27">
        <v>5.0000000000000001E-4</v>
      </c>
      <c r="AD6" s="24">
        <v>-11.01</v>
      </c>
      <c r="AE6" s="24">
        <v>-93.42</v>
      </c>
      <c r="AF6" s="24">
        <v>99.92</v>
      </c>
      <c r="AG6" s="26">
        <v>100</v>
      </c>
      <c r="AI6" s="27">
        <v>0.99980000000000002</v>
      </c>
      <c r="AJ6" s="27">
        <v>1E-3</v>
      </c>
      <c r="AK6" s="26">
        <v>222</v>
      </c>
      <c r="AL6" s="26">
        <v>0</v>
      </c>
      <c r="AM6" s="26">
        <v>0</v>
      </c>
      <c r="AN6" s="26">
        <v>0</v>
      </c>
      <c r="AO6" s="26">
        <v>51</v>
      </c>
      <c r="AP6" s="23">
        <v>1</v>
      </c>
      <c r="AQ6" s="27">
        <v>0.15809999999999999</v>
      </c>
      <c r="AR6" s="26">
        <v>789501600</v>
      </c>
      <c r="AS6" s="25">
        <v>77.260000000000005</v>
      </c>
      <c r="AT6" s="25">
        <v>395.14449999999999</v>
      </c>
      <c r="AU6" s="25">
        <v>1686.2940000000001</v>
      </c>
      <c r="AV6">
        <f t="shared" si="0"/>
        <v>100</v>
      </c>
    </row>
    <row r="7" spans="1:48" ht="16.5" x14ac:dyDescent="0.3">
      <c r="A7" s="22" t="s">
        <v>961</v>
      </c>
      <c r="B7" s="22" t="s">
        <v>970</v>
      </c>
      <c r="C7" s="22" t="s">
        <v>47</v>
      </c>
      <c r="D7" s="22" t="s">
        <v>958</v>
      </c>
      <c r="E7" s="22" t="s">
        <v>959</v>
      </c>
      <c r="F7" s="22" t="s">
        <v>958</v>
      </c>
      <c r="G7" s="22" t="s">
        <v>959</v>
      </c>
      <c r="H7" s="22" t="s">
        <v>964</v>
      </c>
      <c r="I7" s="22" t="s">
        <v>965</v>
      </c>
      <c r="J7" s="23">
        <v>1</v>
      </c>
      <c r="K7" s="24">
        <v>21.02</v>
      </c>
      <c r="L7" s="25">
        <v>3.8069999999999999</v>
      </c>
      <c r="M7" s="24">
        <v>99.76</v>
      </c>
      <c r="N7" s="24">
        <v>99.83</v>
      </c>
      <c r="O7" s="24">
        <v>99.84</v>
      </c>
      <c r="P7" s="24">
        <v>99.84</v>
      </c>
      <c r="Q7" s="24">
        <v>0.08</v>
      </c>
      <c r="R7" s="24">
        <v>0.23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3">
        <v>0</v>
      </c>
      <c r="Y7" s="23">
        <v>0</v>
      </c>
      <c r="Z7" s="27">
        <v>0.41970000000000002</v>
      </c>
      <c r="AA7" s="27">
        <v>0.105</v>
      </c>
      <c r="AB7" s="27">
        <v>0.17960000000000001</v>
      </c>
      <c r="AC7" s="27">
        <v>5.9999999999999995E-4</v>
      </c>
      <c r="AD7" s="24">
        <v>-9.59</v>
      </c>
      <c r="AE7" s="24">
        <v>-98.86</v>
      </c>
      <c r="AF7" s="24">
        <v>99.89</v>
      </c>
      <c r="AG7" s="24">
        <v>93.75</v>
      </c>
      <c r="AH7" s="24">
        <v>90.91</v>
      </c>
      <c r="AI7" s="27">
        <v>0.99980000000000002</v>
      </c>
      <c r="AJ7" s="27">
        <v>4.1999999999999997E-3</v>
      </c>
      <c r="AK7" s="26">
        <v>346</v>
      </c>
      <c r="AL7" s="26">
        <v>0</v>
      </c>
      <c r="AM7" s="26">
        <v>0</v>
      </c>
      <c r="AN7" s="26">
        <v>0</v>
      </c>
      <c r="AO7" s="26">
        <v>26</v>
      </c>
      <c r="AP7" s="23">
        <v>1</v>
      </c>
      <c r="AQ7" s="27">
        <v>4.5900000000000003E-2</v>
      </c>
      <c r="AR7" s="26">
        <v>789501600</v>
      </c>
      <c r="AS7" s="25">
        <v>44.968299999999999</v>
      </c>
      <c r="AT7" s="25">
        <v>236.18379999999999</v>
      </c>
      <c r="AU7" s="25">
        <v>836.55799999999999</v>
      </c>
      <c r="AV7">
        <f t="shared" si="0"/>
        <v>100</v>
      </c>
    </row>
    <row r="8" spans="1:48" ht="16.5" x14ac:dyDescent="0.3">
      <c r="A8" s="22" t="s">
        <v>961</v>
      </c>
      <c r="B8" s="22" t="s">
        <v>970</v>
      </c>
      <c r="C8" s="22" t="s">
        <v>47</v>
      </c>
      <c r="D8" s="22" t="s">
        <v>958</v>
      </c>
      <c r="E8" s="22" t="s">
        <v>959</v>
      </c>
      <c r="F8" s="22" t="s">
        <v>958</v>
      </c>
      <c r="G8" s="22" t="s">
        <v>959</v>
      </c>
      <c r="H8" s="22" t="s">
        <v>966</v>
      </c>
      <c r="I8" s="22" t="s">
        <v>967</v>
      </c>
      <c r="J8" s="23">
        <v>1</v>
      </c>
      <c r="K8" s="24">
        <v>55.53</v>
      </c>
      <c r="L8" s="25">
        <v>6.1105999999999998</v>
      </c>
      <c r="M8" s="24">
        <v>99.94</v>
      </c>
      <c r="N8" s="24">
        <v>99.76</v>
      </c>
      <c r="O8" s="24">
        <v>99.76</v>
      </c>
      <c r="P8" s="24">
        <v>99.76</v>
      </c>
      <c r="Q8" s="24">
        <v>0.06</v>
      </c>
      <c r="R8" s="24">
        <v>0.24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3">
        <v>0</v>
      </c>
      <c r="Y8" s="27">
        <v>2.0000000000000001E-4</v>
      </c>
      <c r="Z8" s="27">
        <v>0.5585</v>
      </c>
      <c r="AA8" s="27">
        <v>0.15459999999999999</v>
      </c>
      <c r="AB8" s="27">
        <v>0.25109999999999999</v>
      </c>
      <c r="AC8" s="27">
        <v>8.9999999999999998E-4</v>
      </c>
      <c r="AD8" s="24">
        <v>-10.18</v>
      </c>
      <c r="AE8" s="24">
        <v>-91.74</v>
      </c>
      <c r="AF8" s="24">
        <v>99.95</v>
      </c>
      <c r="AG8" s="24">
        <v>82.35</v>
      </c>
      <c r="AH8" s="24">
        <v>70.59</v>
      </c>
      <c r="AI8" s="27">
        <v>0.99990000000000001</v>
      </c>
      <c r="AJ8" s="27">
        <v>2.3999999999999998E-3</v>
      </c>
      <c r="AK8" s="26">
        <v>250</v>
      </c>
      <c r="AL8" s="26">
        <v>0</v>
      </c>
      <c r="AM8" s="26">
        <v>0</v>
      </c>
      <c r="AN8" s="26">
        <v>0</v>
      </c>
      <c r="AO8" s="26">
        <v>57</v>
      </c>
      <c r="AP8" s="23">
        <v>1</v>
      </c>
      <c r="AQ8" s="27">
        <v>6.1199999999999997E-2</v>
      </c>
      <c r="AR8" s="26">
        <v>789501600</v>
      </c>
      <c r="AS8" s="25">
        <v>70.958399999999997</v>
      </c>
      <c r="AT8" s="25">
        <v>311.03910000000002</v>
      </c>
      <c r="AU8" s="25">
        <v>1376.6759999999999</v>
      </c>
      <c r="AV8">
        <f t="shared" si="0"/>
        <v>100</v>
      </c>
    </row>
    <row r="9" spans="1:48" ht="16.5" x14ac:dyDescent="0.3">
      <c r="A9" s="22" t="s">
        <v>961</v>
      </c>
      <c r="B9" s="22" t="s">
        <v>970</v>
      </c>
      <c r="C9" s="22" t="s">
        <v>47</v>
      </c>
      <c r="D9" s="22" t="s">
        <v>958</v>
      </c>
      <c r="E9" s="22" t="s">
        <v>959</v>
      </c>
      <c r="F9" s="22" t="s">
        <v>958</v>
      </c>
      <c r="G9" s="22" t="s">
        <v>959</v>
      </c>
      <c r="H9" s="22" t="s">
        <v>968</v>
      </c>
      <c r="I9" s="22" t="s">
        <v>969</v>
      </c>
      <c r="J9" s="23">
        <v>1</v>
      </c>
      <c r="K9" s="24">
        <v>20.62</v>
      </c>
      <c r="L9" s="25">
        <v>3.6892999999999998</v>
      </c>
      <c r="M9" s="24">
        <v>99.41</v>
      </c>
      <c r="N9" s="24">
        <v>99.61</v>
      </c>
      <c r="O9" s="24">
        <v>99.59</v>
      </c>
      <c r="P9" s="24">
        <v>99.59</v>
      </c>
      <c r="Q9" s="24">
        <v>0.15</v>
      </c>
      <c r="R9" s="24">
        <v>0.26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3">
        <v>0</v>
      </c>
      <c r="Y9" s="23">
        <v>0</v>
      </c>
      <c r="Z9" s="27">
        <v>0.36520000000000002</v>
      </c>
      <c r="AA9" s="27">
        <v>9.3700000000000006E-2</v>
      </c>
      <c r="AB9" s="27">
        <v>0.23050000000000001</v>
      </c>
      <c r="AC9" s="27">
        <v>5.9999999999999995E-4</v>
      </c>
      <c r="AD9" s="24">
        <v>-8.5299999999999994</v>
      </c>
      <c r="AE9" s="24">
        <v>-98.33</v>
      </c>
      <c r="AF9" s="24">
        <v>99.89</v>
      </c>
      <c r="AG9" s="26">
        <v>100</v>
      </c>
      <c r="AH9" s="26">
        <v>100</v>
      </c>
      <c r="AI9" s="27">
        <v>0.99960000000000004</v>
      </c>
      <c r="AJ9" s="27">
        <v>2.2000000000000001E-3</v>
      </c>
      <c r="AK9" s="26">
        <v>83</v>
      </c>
      <c r="AL9" s="26">
        <v>0</v>
      </c>
      <c r="AM9" s="26">
        <v>0</v>
      </c>
      <c r="AN9" s="26">
        <v>0</v>
      </c>
      <c r="AO9" s="26">
        <v>22</v>
      </c>
      <c r="AP9" s="23">
        <v>1</v>
      </c>
      <c r="AQ9" s="27">
        <v>3.5099999999999999E-2</v>
      </c>
      <c r="AR9" s="26">
        <v>789501600</v>
      </c>
      <c r="AS9" s="25">
        <v>34.423400000000001</v>
      </c>
      <c r="AT9" s="25">
        <v>153.43010000000001</v>
      </c>
      <c r="AU9" s="25">
        <v>873.53039999999999</v>
      </c>
      <c r="AV9">
        <f t="shared" si="0"/>
        <v>100</v>
      </c>
    </row>
    <row r="10" spans="1:48" ht="16.5" x14ac:dyDescent="0.3">
      <c r="A10" s="22" t="s">
        <v>970</v>
      </c>
      <c r="B10" s="22" t="s">
        <v>971</v>
      </c>
      <c r="C10" s="22" t="s">
        <v>47</v>
      </c>
      <c r="D10" s="22" t="s">
        <v>958</v>
      </c>
      <c r="E10" s="22" t="s">
        <v>959</v>
      </c>
      <c r="F10" s="22" t="s">
        <v>958</v>
      </c>
      <c r="G10" s="22" t="s">
        <v>959</v>
      </c>
      <c r="H10" s="22" t="s">
        <v>962</v>
      </c>
      <c r="I10" s="22" t="s">
        <v>963</v>
      </c>
      <c r="J10" s="23">
        <v>1</v>
      </c>
      <c r="K10" s="24">
        <v>42.59</v>
      </c>
      <c r="L10" s="25">
        <v>7.8227000000000002</v>
      </c>
      <c r="M10" s="24">
        <v>99.9</v>
      </c>
      <c r="N10" s="24">
        <v>99.72</v>
      </c>
      <c r="O10" s="24">
        <v>99.73</v>
      </c>
      <c r="P10" s="24">
        <v>99.73</v>
      </c>
      <c r="Q10" s="24">
        <v>7.0000000000000007E-2</v>
      </c>
      <c r="R10" s="24">
        <v>0.2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3">
        <v>0</v>
      </c>
      <c r="Y10" s="23">
        <v>0</v>
      </c>
      <c r="Z10" s="27">
        <v>0.70030000000000003</v>
      </c>
      <c r="AA10" s="27">
        <v>0.3866</v>
      </c>
      <c r="AB10" s="27">
        <v>0.2392</v>
      </c>
      <c r="AC10" s="27">
        <v>5.9999999999999995E-4</v>
      </c>
      <c r="AD10" s="24">
        <v>-11.13</v>
      </c>
      <c r="AE10" s="24">
        <v>-92.37</v>
      </c>
      <c r="AF10" s="24">
        <v>99.94</v>
      </c>
      <c r="AG10" s="26">
        <v>100</v>
      </c>
      <c r="AI10" s="23">
        <v>1</v>
      </c>
      <c r="AJ10" s="27">
        <v>2.9999999999999997E-4</v>
      </c>
      <c r="AK10" s="26">
        <v>269</v>
      </c>
      <c r="AL10" s="26">
        <v>0</v>
      </c>
      <c r="AM10" s="26">
        <v>0</v>
      </c>
      <c r="AN10" s="26">
        <v>0</v>
      </c>
      <c r="AO10" s="26">
        <v>40</v>
      </c>
      <c r="AP10" s="23">
        <v>1</v>
      </c>
      <c r="AQ10" s="27">
        <v>0.16339999999999999</v>
      </c>
      <c r="AR10" s="26">
        <v>789501600</v>
      </c>
      <c r="AS10" s="25">
        <v>75.563299999999998</v>
      </c>
      <c r="AT10" s="25">
        <v>328.0917</v>
      </c>
      <c r="AU10" s="25">
        <v>1841.1207999999999</v>
      </c>
      <c r="AV10">
        <f t="shared" si="0"/>
        <v>100</v>
      </c>
    </row>
    <row r="11" spans="1:48" ht="16.5" x14ac:dyDescent="0.3">
      <c r="A11" s="22" t="s">
        <v>970</v>
      </c>
      <c r="B11" s="22" t="s">
        <v>971</v>
      </c>
      <c r="C11" s="22" t="s">
        <v>47</v>
      </c>
      <c r="D11" s="22" t="s">
        <v>958</v>
      </c>
      <c r="E11" s="22" t="s">
        <v>959</v>
      </c>
      <c r="F11" s="22" t="s">
        <v>958</v>
      </c>
      <c r="G11" s="22" t="s">
        <v>959</v>
      </c>
      <c r="H11" s="22" t="s">
        <v>964</v>
      </c>
      <c r="I11" s="22" t="s">
        <v>965</v>
      </c>
      <c r="J11" s="23">
        <v>1</v>
      </c>
      <c r="K11" s="24">
        <v>18.78</v>
      </c>
      <c r="L11" s="25">
        <v>3.6766000000000001</v>
      </c>
      <c r="M11" s="24">
        <v>99.61</v>
      </c>
      <c r="N11" s="24">
        <v>99.77</v>
      </c>
      <c r="O11" s="24">
        <v>99.78</v>
      </c>
      <c r="P11" s="24">
        <v>99.78</v>
      </c>
      <c r="Q11" s="26">
        <v>0</v>
      </c>
      <c r="R11" s="24">
        <v>0.34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3">
        <v>0</v>
      </c>
      <c r="Y11" s="23">
        <v>0</v>
      </c>
      <c r="Z11" s="27">
        <v>0.40820000000000001</v>
      </c>
      <c r="AA11" s="27">
        <v>9.5000000000000001E-2</v>
      </c>
      <c r="AB11" s="27">
        <v>0.18160000000000001</v>
      </c>
      <c r="AC11" s="27">
        <v>5.0000000000000001E-4</v>
      </c>
      <c r="AD11" s="24">
        <v>-9.59</v>
      </c>
      <c r="AE11" s="24">
        <v>-98.77</v>
      </c>
      <c r="AF11" s="24">
        <v>99.92</v>
      </c>
      <c r="AG11" s="24">
        <v>87.5</v>
      </c>
      <c r="AH11" s="24">
        <v>63.64</v>
      </c>
      <c r="AI11" s="27">
        <v>0.96360000000000001</v>
      </c>
      <c r="AJ11" s="27">
        <v>1.5E-3</v>
      </c>
      <c r="AK11" s="26">
        <v>261</v>
      </c>
      <c r="AL11" s="26">
        <v>0</v>
      </c>
      <c r="AM11" s="26">
        <v>0</v>
      </c>
      <c r="AN11" s="26">
        <v>0</v>
      </c>
      <c r="AO11" s="26">
        <v>34</v>
      </c>
      <c r="AP11" s="23">
        <v>1</v>
      </c>
      <c r="AQ11" s="27">
        <v>4.1700000000000001E-2</v>
      </c>
      <c r="AR11" s="26">
        <v>789501600</v>
      </c>
      <c r="AS11" s="25">
        <v>43.606699999999996</v>
      </c>
      <c r="AT11" s="25">
        <v>248.3426</v>
      </c>
      <c r="AU11" s="25">
        <v>788.68240000000003</v>
      </c>
      <c r="AV11">
        <f t="shared" si="0"/>
        <v>100</v>
      </c>
    </row>
    <row r="12" spans="1:48" ht="16.5" x14ac:dyDescent="0.3">
      <c r="A12" s="22" t="s">
        <v>970</v>
      </c>
      <c r="B12" s="22" t="s">
        <v>971</v>
      </c>
      <c r="C12" s="22" t="s">
        <v>47</v>
      </c>
      <c r="D12" s="22" t="s">
        <v>958</v>
      </c>
      <c r="E12" s="22" t="s">
        <v>959</v>
      </c>
      <c r="F12" s="22" t="s">
        <v>958</v>
      </c>
      <c r="G12" s="22" t="s">
        <v>959</v>
      </c>
      <c r="H12" s="22" t="s">
        <v>966</v>
      </c>
      <c r="I12" s="22" t="s">
        <v>967</v>
      </c>
      <c r="J12" s="23">
        <v>1</v>
      </c>
      <c r="K12" s="24">
        <v>52.27</v>
      </c>
      <c r="L12" s="25">
        <v>4.5434999999999999</v>
      </c>
      <c r="M12" s="24">
        <v>99.86</v>
      </c>
      <c r="N12" s="24">
        <v>99.77</v>
      </c>
      <c r="O12" s="24">
        <v>99.78</v>
      </c>
      <c r="P12" s="24">
        <v>99.77</v>
      </c>
      <c r="Q12" s="24">
        <v>0.03</v>
      </c>
      <c r="R12" s="24">
        <v>0.36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3">
        <v>0</v>
      </c>
      <c r="Y12" s="27">
        <v>1.4E-3</v>
      </c>
      <c r="Z12" s="27">
        <v>0.4829</v>
      </c>
      <c r="AA12" s="27">
        <v>0.1245</v>
      </c>
      <c r="AB12" s="27">
        <v>0.25600000000000001</v>
      </c>
      <c r="AC12" s="27">
        <v>1E-3</v>
      </c>
      <c r="AD12" s="24">
        <v>-9.9600000000000009</v>
      </c>
      <c r="AE12" s="24">
        <v>-91.04</v>
      </c>
      <c r="AF12" s="24">
        <v>99.93</v>
      </c>
      <c r="AG12" s="24">
        <v>84.21</v>
      </c>
      <c r="AH12" s="26">
        <v>100</v>
      </c>
      <c r="AI12" s="27">
        <v>0.99980000000000002</v>
      </c>
      <c r="AJ12" s="27">
        <v>2.0999999999999999E-3</v>
      </c>
      <c r="AK12" s="26">
        <v>218</v>
      </c>
      <c r="AL12" s="26">
        <v>0</v>
      </c>
      <c r="AM12" s="26">
        <v>0</v>
      </c>
      <c r="AN12" s="26">
        <v>0</v>
      </c>
      <c r="AO12" s="26">
        <v>39</v>
      </c>
      <c r="AP12" s="23">
        <v>1</v>
      </c>
      <c r="AQ12" s="27">
        <v>5.1799999999999999E-2</v>
      </c>
      <c r="AR12" s="26">
        <v>789501600</v>
      </c>
      <c r="AS12" s="25">
        <v>67.349999999999994</v>
      </c>
      <c r="AT12" s="25">
        <v>260.77730000000003</v>
      </c>
      <c r="AU12" s="25">
        <v>977.69629999999995</v>
      </c>
      <c r="AV12">
        <f t="shared" si="0"/>
        <v>100</v>
      </c>
    </row>
    <row r="13" spans="1:48" ht="16.5" x14ac:dyDescent="0.3">
      <c r="A13" s="22" t="s">
        <v>970</v>
      </c>
      <c r="B13" s="22" t="s">
        <v>971</v>
      </c>
      <c r="C13" s="22" t="s">
        <v>47</v>
      </c>
      <c r="D13" s="22" t="s">
        <v>958</v>
      </c>
      <c r="E13" s="22" t="s">
        <v>959</v>
      </c>
      <c r="F13" s="22" t="s">
        <v>958</v>
      </c>
      <c r="G13" s="22" t="s">
        <v>959</v>
      </c>
      <c r="H13" s="22" t="s">
        <v>968</v>
      </c>
      <c r="I13" s="22" t="s">
        <v>969</v>
      </c>
      <c r="J13" s="23">
        <v>1</v>
      </c>
      <c r="K13" s="24">
        <v>20.29</v>
      </c>
      <c r="L13" s="25">
        <v>3.0125999999999999</v>
      </c>
      <c r="M13" s="24">
        <v>99.77</v>
      </c>
      <c r="N13" s="24">
        <v>99.66</v>
      </c>
      <c r="O13" s="24">
        <v>99.6</v>
      </c>
      <c r="P13" s="24">
        <v>99.6</v>
      </c>
      <c r="Q13" s="24">
        <v>0.15</v>
      </c>
      <c r="R13" s="24">
        <v>0.27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3">
        <v>0</v>
      </c>
      <c r="Y13" s="23">
        <v>0</v>
      </c>
      <c r="Z13" s="27">
        <v>0.30880000000000002</v>
      </c>
      <c r="AA13" s="27">
        <v>7.7100000000000002E-2</v>
      </c>
      <c r="AB13" s="27">
        <v>0.23380000000000001</v>
      </c>
      <c r="AC13" s="27">
        <v>8.9999999999999998E-4</v>
      </c>
      <c r="AD13" s="24">
        <v>-8.39</v>
      </c>
      <c r="AE13" s="24">
        <v>-97.88</v>
      </c>
      <c r="AF13" s="24">
        <v>99.95</v>
      </c>
      <c r="AG13" s="24">
        <v>91.67</v>
      </c>
      <c r="AH13" s="26">
        <v>75</v>
      </c>
      <c r="AI13" s="23">
        <v>1</v>
      </c>
      <c r="AJ13" s="27">
        <v>2.0000000000000001E-4</v>
      </c>
      <c r="AK13" s="26">
        <v>105</v>
      </c>
      <c r="AL13" s="26">
        <v>0</v>
      </c>
      <c r="AM13" s="26">
        <v>0</v>
      </c>
      <c r="AN13" s="26">
        <v>0</v>
      </c>
      <c r="AO13" s="26">
        <v>27</v>
      </c>
      <c r="AP13" s="23">
        <v>1</v>
      </c>
      <c r="AQ13" s="27">
        <v>3.1899999999999998E-2</v>
      </c>
      <c r="AR13" s="26">
        <v>789501600</v>
      </c>
      <c r="AS13" s="25">
        <v>33.525100000000002</v>
      </c>
      <c r="AT13" s="25">
        <v>149.71799999999999</v>
      </c>
      <c r="AU13" s="25">
        <v>690.7414</v>
      </c>
      <c r="AV13">
        <f t="shared" si="0"/>
        <v>100</v>
      </c>
    </row>
    <row r="14" spans="1:48" ht="16.5" x14ac:dyDescent="0.3">
      <c r="A14" s="22" t="s">
        <v>971</v>
      </c>
      <c r="B14" s="22" t="s">
        <v>972</v>
      </c>
      <c r="C14" s="22" t="s">
        <v>47</v>
      </c>
      <c r="D14" s="22" t="s">
        <v>958</v>
      </c>
      <c r="E14" s="22" t="s">
        <v>959</v>
      </c>
      <c r="F14" s="22" t="s">
        <v>958</v>
      </c>
      <c r="G14" s="22" t="s">
        <v>959</v>
      </c>
      <c r="H14" s="22" t="s">
        <v>962</v>
      </c>
      <c r="I14" s="22" t="s">
        <v>963</v>
      </c>
      <c r="J14" s="23">
        <v>1</v>
      </c>
      <c r="K14" s="24">
        <v>49.63</v>
      </c>
      <c r="L14" s="25">
        <v>7.8085000000000004</v>
      </c>
      <c r="M14" s="24">
        <v>99.87</v>
      </c>
      <c r="N14" s="24">
        <v>99.75</v>
      </c>
      <c r="O14" s="24">
        <v>99.74</v>
      </c>
      <c r="P14" s="24">
        <v>99.74</v>
      </c>
      <c r="Q14" s="24">
        <v>0.1</v>
      </c>
      <c r="R14" s="24">
        <v>0.18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3">
        <v>0</v>
      </c>
      <c r="Y14" s="23">
        <v>0</v>
      </c>
      <c r="Z14" s="27">
        <v>0.71379999999999999</v>
      </c>
      <c r="AA14" s="27">
        <v>0.43380000000000002</v>
      </c>
      <c r="AB14" s="27">
        <v>0.23530000000000001</v>
      </c>
      <c r="AC14" s="27">
        <v>5.9999999999999995E-4</v>
      </c>
      <c r="AD14" s="24">
        <v>-11.36</v>
      </c>
      <c r="AE14" s="24">
        <v>-93.2</v>
      </c>
      <c r="AF14" s="24">
        <v>99.93</v>
      </c>
      <c r="AG14" s="24">
        <v>66.67</v>
      </c>
      <c r="AH14" s="26">
        <v>100</v>
      </c>
      <c r="AI14" s="27">
        <v>0.99970000000000003</v>
      </c>
      <c r="AJ14" s="27">
        <v>2.9999999999999997E-4</v>
      </c>
      <c r="AK14" s="26">
        <v>349</v>
      </c>
      <c r="AL14" s="26">
        <v>0</v>
      </c>
      <c r="AM14" s="26">
        <v>0</v>
      </c>
      <c r="AN14" s="26">
        <v>0</v>
      </c>
      <c r="AO14" s="26">
        <v>60</v>
      </c>
      <c r="AP14" s="23">
        <v>1</v>
      </c>
      <c r="AQ14" s="27">
        <v>0.17760000000000001</v>
      </c>
      <c r="AR14" s="26">
        <v>789501600</v>
      </c>
      <c r="AS14" s="25">
        <v>81.948300000000003</v>
      </c>
      <c r="AT14" s="25">
        <v>355.22109999999998</v>
      </c>
      <c r="AU14" s="25">
        <v>1834.6762000000001</v>
      </c>
      <c r="AV14">
        <f t="shared" si="0"/>
        <v>100</v>
      </c>
    </row>
    <row r="15" spans="1:48" ht="16.5" x14ac:dyDescent="0.3">
      <c r="A15" s="22" t="s">
        <v>971</v>
      </c>
      <c r="B15" s="22" t="s">
        <v>972</v>
      </c>
      <c r="C15" s="22" t="s">
        <v>47</v>
      </c>
      <c r="D15" s="22" t="s">
        <v>958</v>
      </c>
      <c r="E15" s="22" t="s">
        <v>959</v>
      </c>
      <c r="F15" s="22" t="s">
        <v>958</v>
      </c>
      <c r="G15" s="22" t="s">
        <v>959</v>
      </c>
      <c r="H15" s="22" t="s">
        <v>964</v>
      </c>
      <c r="I15" s="22" t="s">
        <v>965</v>
      </c>
      <c r="J15" s="23">
        <v>1</v>
      </c>
      <c r="K15" s="24">
        <v>20.84</v>
      </c>
      <c r="L15" s="25">
        <v>3.4571999999999998</v>
      </c>
      <c r="M15" s="24">
        <v>99.83</v>
      </c>
      <c r="N15" s="24">
        <v>99.73</v>
      </c>
      <c r="O15" s="24">
        <v>99.74</v>
      </c>
      <c r="P15" s="24">
        <v>99.74</v>
      </c>
      <c r="Q15" s="26">
        <v>0</v>
      </c>
      <c r="R15" s="24">
        <v>0.32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3">
        <v>0</v>
      </c>
      <c r="Y15" s="27">
        <v>2.0000000000000001E-4</v>
      </c>
      <c r="Z15" s="27">
        <v>0.42859999999999998</v>
      </c>
      <c r="AA15" s="27">
        <v>9.5100000000000004E-2</v>
      </c>
      <c r="AB15" s="27">
        <v>0.17699999999999999</v>
      </c>
      <c r="AC15" s="27">
        <v>5.0000000000000001E-4</v>
      </c>
      <c r="AD15" s="24">
        <v>-9.82</v>
      </c>
      <c r="AE15" s="24">
        <v>-98.83</v>
      </c>
      <c r="AF15" s="24">
        <v>99.93</v>
      </c>
      <c r="AG15" s="24">
        <v>83.33</v>
      </c>
      <c r="AH15" s="24">
        <v>87.5</v>
      </c>
      <c r="AI15" s="23">
        <v>1</v>
      </c>
      <c r="AJ15" s="27">
        <v>4.0000000000000002E-4</v>
      </c>
      <c r="AK15" s="26">
        <v>273</v>
      </c>
      <c r="AL15" s="26">
        <v>0</v>
      </c>
      <c r="AM15" s="26">
        <v>0</v>
      </c>
      <c r="AN15" s="26">
        <v>0</v>
      </c>
      <c r="AO15" s="26">
        <v>27</v>
      </c>
      <c r="AP15" s="23">
        <v>1</v>
      </c>
      <c r="AQ15" s="27">
        <v>4.0899999999999999E-2</v>
      </c>
      <c r="AR15" s="26">
        <v>789501600</v>
      </c>
      <c r="AS15" s="25">
        <v>46.311599999999999</v>
      </c>
      <c r="AT15" s="25">
        <v>197.98820000000001</v>
      </c>
      <c r="AU15" s="25">
        <v>756.95960000000002</v>
      </c>
      <c r="AV15">
        <f t="shared" si="0"/>
        <v>100</v>
      </c>
    </row>
    <row r="16" spans="1:48" ht="16.5" x14ac:dyDescent="0.3">
      <c r="A16" s="22" t="s">
        <v>971</v>
      </c>
      <c r="B16" s="22" t="s">
        <v>972</v>
      </c>
      <c r="C16" s="22" t="s">
        <v>47</v>
      </c>
      <c r="D16" s="22" t="s">
        <v>958</v>
      </c>
      <c r="E16" s="22" t="s">
        <v>959</v>
      </c>
      <c r="F16" s="22" t="s">
        <v>958</v>
      </c>
      <c r="G16" s="22" t="s">
        <v>959</v>
      </c>
      <c r="H16" s="22" t="s">
        <v>966</v>
      </c>
      <c r="I16" s="22" t="s">
        <v>967</v>
      </c>
      <c r="J16" s="27">
        <v>0.71499999999999997</v>
      </c>
      <c r="K16" s="24">
        <v>33.47</v>
      </c>
      <c r="L16" s="25">
        <v>3.3978000000000002</v>
      </c>
      <c r="M16" s="24">
        <v>99.83</v>
      </c>
      <c r="N16" s="24">
        <v>99.81</v>
      </c>
      <c r="O16" s="24">
        <v>99.82</v>
      </c>
      <c r="P16" s="24">
        <v>99.82</v>
      </c>
      <c r="Q16" s="24">
        <v>0.13</v>
      </c>
      <c r="R16" s="24">
        <v>0.35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3">
        <v>0</v>
      </c>
      <c r="Y16" s="27">
        <v>1.1000000000000001E-3</v>
      </c>
      <c r="Z16" s="27">
        <v>0.47299999999999998</v>
      </c>
      <c r="AA16" s="27">
        <v>9.9000000000000005E-2</v>
      </c>
      <c r="AB16" s="27">
        <v>0.22140000000000001</v>
      </c>
      <c r="AC16" s="27">
        <v>8.0000000000000004E-4</v>
      </c>
      <c r="AD16" s="24">
        <v>-9.58</v>
      </c>
      <c r="AE16" s="24">
        <v>-91.5</v>
      </c>
      <c r="AF16" s="24">
        <v>99.91</v>
      </c>
      <c r="AG16" s="26">
        <v>100</v>
      </c>
      <c r="AH16" s="26">
        <v>100</v>
      </c>
      <c r="AI16" s="27">
        <v>0.99919999999999998</v>
      </c>
      <c r="AJ16" s="27">
        <v>1.1999999999999999E-3</v>
      </c>
      <c r="AK16" s="26">
        <v>139</v>
      </c>
      <c r="AL16" s="26">
        <v>0</v>
      </c>
      <c r="AM16" s="26">
        <v>0</v>
      </c>
      <c r="AN16" s="26">
        <v>0</v>
      </c>
      <c r="AO16" s="26">
        <v>37</v>
      </c>
      <c r="AP16" s="23">
        <v>1</v>
      </c>
      <c r="AQ16" s="27">
        <v>4.0800000000000003E-2</v>
      </c>
      <c r="AR16" s="26">
        <v>789507756</v>
      </c>
      <c r="AS16" s="25">
        <v>41.638399999999997</v>
      </c>
      <c r="AT16" s="25">
        <v>226.91890000000001</v>
      </c>
      <c r="AU16" s="25">
        <v>704.92669999999998</v>
      </c>
      <c r="AV16">
        <f t="shared" si="0"/>
        <v>71.5</v>
      </c>
    </row>
    <row r="17" spans="1:48" ht="16.5" x14ac:dyDescent="0.3">
      <c r="A17" s="22" t="s">
        <v>971</v>
      </c>
      <c r="B17" s="22" t="s">
        <v>972</v>
      </c>
      <c r="C17" s="22" t="s">
        <v>47</v>
      </c>
      <c r="D17" s="22" t="s">
        <v>958</v>
      </c>
      <c r="E17" s="22" t="s">
        <v>959</v>
      </c>
      <c r="F17" s="22" t="s">
        <v>958</v>
      </c>
      <c r="G17" s="22" t="s">
        <v>959</v>
      </c>
      <c r="H17" s="22" t="s">
        <v>968</v>
      </c>
      <c r="I17" s="22" t="s">
        <v>969</v>
      </c>
      <c r="J17" s="23">
        <v>1</v>
      </c>
      <c r="K17" s="24">
        <v>22.7</v>
      </c>
      <c r="L17" s="25">
        <v>3.6352000000000002</v>
      </c>
      <c r="M17" s="24">
        <v>99.54</v>
      </c>
      <c r="N17" s="24">
        <v>99.49</v>
      </c>
      <c r="O17" s="24">
        <v>99.5</v>
      </c>
      <c r="P17" s="24">
        <v>99.5</v>
      </c>
      <c r="Q17" s="26">
        <v>0</v>
      </c>
      <c r="R17" s="24">
        <v>0.41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3">
        <v>0</v>
      </c>
      <c r="Y17" s="23">
        <v>0</v>
      </c>
      <c r="Z17" s="27">
        <v>0.38550000000000001</v>
      </c>
      <c r="AA17" s="27">
        <v>9.1399999999999995E-2</v>
      </c>
      <c r="AB17" s="27">
        <v>0.2293</v>
      </c>
      <c r="AC17" s="27">
        <v>1E-3</v>
      </c>
      <c r="AD17" s="24">
        <v>-9.73</v>
      </c>
      <c r="AE17" s="24">
        <v>-97.55</v>
      </c>
      <c r="AF17" s="24">
        <v>99.97</v>
      </c>
      <c r="AG17" s="26">
        <v>96</v>
      </c>
      <c r="AH17" s="26">
        <v>100</v>
      </c>
      <c r="AI17" s="27">
        <v>0.99990000000000001</v>
      </c>
      <c r="AJ17" s="27">
        <v>2.0000000000000001E-4</v>
      </c>
      <c r="AK17" s="26">
        <v>152</v>
      </c>
      <c r="AL17" s="26">
        <v>0</v>
      </c>
      <c r="AM17" s="26">
        <v>0</v>
      </c>
      <c r="AN17" s="26">
        <v>0</v>
      </c>
      <c r="AO17" s="26">
        <v>81</v>
      </c>
      <c r="AP17" s="23">
        <v>1</v>
      </c>
      <c r="AQ17" s="27">
        <v>4.2000000000000003E-2</v>
      </c>
      <c r="AR17" s="26">
        <v>789501600</v>
      </c>
      <c r="AS17" s="25">
        <v>42.826700000000002</v>
      </c>
      <c r="AT17" s="25">
        <v>255.4367</v>
      </c>
      <c r="AU17" s="25">
        <v>761.29840000000002</v>
      </c>
      <c r="AV17">
        <f t="shared" si="0"/>
        <v>100</v>
      </c>
    </row>
    <row r="18" spans="1:48" ht="16.5" x14ac:dyDescent="0.3">
      <c r="A18" s="22" t="s">
        <v>972</v>
      </c>
      <c r="B18" s="22" t="s">
        <v>973</v>
      </c>
      <c r="C18" s="22" t="s">
        <v>47</v>
      </c>
      <c r="D18" s="22" t="s">
        <v>958</v>
      </c>
      <c r="E18" s="22" t="s">
        <v>959</v>
      </c>
      <c r="F18" s="22" t="s">
        <v>958</v>
      </c>
      <c r="G18" s="22" t="s">
        <v>959</v>
      </c>
      <c r="H18" s="22" t="s">
        <v>962</v>
      </c>
      <c r="I18" s="22" t="s">
        <v>963</v>
      </c>
      <c r="J18" s="23">
        <v>1</v>
      </c>
      <c r="K18" s="24">
        <v>44.28</v>
      </c>
      <c r="L18" s="25">
        <v>7.6017999999999999</v>
      </c>
      <c r="M18" s="24">
        <v>99.74</v>
      </c>
      <c r="N18" s="24">
        <v>99.74</v>
      </c>
      <c r="O18" s="24">
        <v>99.74</v>
      </c>
      <c r="P18" s="24">
        <v>99.74</v>
      </c>
      <c r="Q18" s="24">
        <v>7.0000000000000007E-2</v>
      </c>
      <c r="R18" s="24">
        <v>0.15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3">
        <v>0</v>
      </c>
      <c r="Y18" s="23">
        <v>0</v>
      </c>
      <c r="Z18" s="27">
        <v>0.67459999999999998</v>
      </c>
      <c r="AA18" s="27">
        <v>0.40570000000000001</v>
      </c>
      <c r="AB18" s="27">
        <v>0.2329</v>
      </c>
      <c r="AC18" s="27">
        <v>5.0000000000000001E-4</v>
      </c>
      <c r="AD18" s="24">
        <v>-11.07</v>
      </c>
      <c r="AE18" s="24">
        <v>-93.79</v>
      </c>
      <c r="AF18" s="24">
        <v>99.96</v>
      </c>
      <c r="AG18" s="26">
        <v>80</v>
      </c>
      <c r="AI18" s="27">
        <v>0.99980000000000002</v>
      </c>
      <c r="AJ18" s="23">
        <v>0</v>
      </c>
      <c r="AK18" s="26">
        <v>306</v>
      </c>
      <c r="AL18" s="26">
        <v>0</v>
      </c>
      <c r="AM18" s="26">
        <v>0</v>
      </c>
      <c r="AN18" s="26">
        <v>0</v>
      </c>
      <c r="AO18" s="26">
        <v>62</v>
      </c>
      <c r="AP18" s="23">
        <v>1</v>
      </c>
      <c r="AQ18" s="27">
        <v>0.16259999999999999</v>
      </c>
      <c r="AR18" s="26">
        <v>789501600</v>
      </c>
      <c r="AS18" s="25">
        <v>78.448300000000003</v>
      </c>
      <c r="AT18" s="25">
        <v>324.52589999999998</v>
      </c>
      <c r="AU18" s="25">
        <v>1778.0856000000001</v>
      </c>
      <c r="AV18">
        <f t="shared" si="0"/>
        <v>100</v>
      </c>
    </row>
    <row r="19" spans="1:48" ht="16.5" x14ac:dyDescent="0.3">
      <c r="A19" s="22" t="s">
        <v>972</v>
      </c>
      <c r="B19" s="22" t="s">
        <v>973</v>
      </c>
      <c r="C19" s="22" t="s">
        <v>47</v>
      </c>
      <c r="D19" s="22" t="s">
        <v>958</v>
      </c>
      <c r="E19" s="22" t="s">
        <v>959</v>
      </c>
      <c r="F19" s="22" t="s">
        <v>958</v>
      </c>
      <c r="G19" s="22" t="s">
        <v>959</v>
      </c>
      <c r="H19" s="22" t="s">
        <v>964</v>
      </c>
      <c r="I19" s="22" t="s">
        <v>965</v>
      </c>
      <c r="J19" s="23">
        <v>1</v>
      </c>
      <c r="K19" s="24">
        <v>18.96</v>
      </c>
      <c r="L19" s="25">
        <v>3.3521000000000001</v>
      </c>
      <c r="M19" s="24">
        <v>99.77</v>
      </c>
      <c r="N19" s="24">
        <v>99.72</v>
      </c>
      <c r="O19" s="24">
        <v>99.73</v>
      </c>
      <c r="P19" s="24">
        <v>99.73</v>
      </c>
      <c r="Q19" s="26">
        <v>0</v>
      </c>
      <c r="R19" s="24">
        <v>0.28000000000000003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3">
        <v>0</v>
      </c>
      <c r="Y19" s="27">
        <v>1E-4</v>
      </c>
      <c r="Z19" s="27">
        <v>0.40400000000000003</v>
      </c>
      <c r="AA19" s="27">
        <v>9.6500000000000002E-2</v>
      </c>
      <c r="AB19" s="27">
        <v>0.1782</v>
      </c>
      <c r="AC19" s="27">
        <v>6.9999999999999999E-4</v>
      </c>
      <c r="AD19" s="24">
        <v>-9.76</v>
      </c>
      <c r="AE19" s="24">
        <v>-98.56</v>
      </c>
      <c r="AF19" s="24">
        <v>99.9</v>
      </c>
      <c r="AG19" s="24">
        <v>76.47</v>
      </c>
      <c r="AH19" s="26">
        <v>100</v>
      </c>
      <c r="AI19" s="23">
        <v>1</v>
      </c>
      <c r="AJ19" s="27">
        <v>6.9999999999999999E-4</v>
      </c>
      <c r="AK19" s="26">
        <v>218</v>
      </c>
      <c r="AL19" s="26">
        <v>0</v>
      </c>
      <c r="AM19" s="26">
        <v>0</v>
      </c>
      <c r="AN19" s="26">
        <v>0</v>
      </c>
      <c r="AO19" s="26">
        <v>20</v>
      </c>
      <c r="AP19" s="23">
        <v>1</v>
      </c>
      <c r="AQ19" s="27">
        <v>4.3400000000000001E-2</v>
      </c>
      <c r="AR19" s="26">
        <v>789501600</v>
      </c>
      <c r="AS19" s="25">
        <v>44.5383</v>
      </c>
      <c r="AT19" s="25">
        <v>175.60419999999999</v>
      </c>
      <c r="AU19" s="25">
        <v>761.32889999999998</v>
      </c>
      <c r="AV19">
        <f t="shared" si="0"/>
        <v>100</v>
      </c>
    </row>
    <row r="20" spans="1:48" ht="16.5" x14ac:dyDescent="0.3">
      <c r="A20" s="22" t="s">
        <v>972</v>
      </c>
      <c r="B20" s="22" t="s">
        <v>973</v>
      </c>
      <c r="C20" s="22" t="s">
        <v>47</v>
      </c>
      <c r="D20" s="22" t="s">
        <v>958</v>
      </c>
      <c r="E20" s="22" t="s">
        <v>959</v>
      </c>
      <c r="F20" s="22" t="s">
        <v>958</v>
      </c>
      <c r="G20" s="22" t="s">
        <v>959</v>
      </c>
      <c r="H20" s="22" t="s">
        <v>966</v>
      </c>
      <c r="I20" s="22" t="s">
        <v>967</v>
      </c>
      <c r="J20" s="27">
        <v>0.88380000000000003</v>
      </c>
      <c r="K20" s="24">
        <v>42.48</v>
      </c>
      <c r="L20" s="25">
        <v>4.6379000000000001</v>
      </c>
      <c r="M20" s="24">
        <v>99.9</v>
      </c>
      <c r="N20" s="24">
        <v>99.79</v>
      </c>
      <c r="O20" s="24">
        <v>99.78</v>
      </c>
      <c r="P20" s="24">
        <v>99.78</v>
      </c>
      <c r="Q20" s="24">
        <v>0.18</v>
      </c>
      <c r="R20" s="24">
        <v>0.4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3">
        <v>0</v>
      </c>
      <c r="Y20" s="27">
        <v>1E-3</v>
      </c>
      <c r="Z20" s="27">
        <v>0.49930000000000002</v>
      </c>
      <c r="AA20" s="27">
        <v>0.1258</v>
      </c>
      <c r="AB20" s="27">
        <v>0.22509999999999999</v>
      </c>
      <c r="AC20" s="27">
        <v>8.0000000000000004E-4</v>
      </c>
      <c r="AD20" s="24">
        <v>-9.5500000000000007</v>
      </c>
      <c r="AE20" s="24">
        <v>-91.98</v>
      </c>
      <c r="AF20" s="24">
        <v>99.93</v>
      </c>
      <c r="AG20" s="26">
        <v>100</v>
      </c>
      <c r="AH20" s="26">
        <v>100</v>
      </c>
      <c r="AI20" s="27">
        <v>0.99970000000000003</v>
      </c>
      <c r="AJ20" s="27">
        <v>8.9999999999999998E-4</v>
      </c>
      <c r="AK20" s="26">
        <v>198</v>
      </c>
      <c r="AL20" s="26">
        <v>0</v>
      </c>
      <c r="AM20" s="26">
        <v>0</v>
      </c>
      <c r="AN20" s="26">
        <v>0</v>
      </c>
      <c r="AO20" s="26">
        <v>44</v>
      </c>
      <c r="AP20" s="23">
        <v>1</v>
      </c>
      <c r="AQ20" s="27">
        <v>5.0900000000000001E-2</v>
      </c>
      <c r="AR20" s="26">
        <v>789504110</v>
      </c>
      <c r="AS20" s="25">
        <v>57.261699999999998</v>
      </c>
      <c r="AT20" s="25">
        <v>248.15559999999999</v>
      </c>
      <c r="AU20" s="25">
        <v>1021.3708</v>
      </c>
      <c r="AV20">
        <f t="shared" si="0"/>
        <v>88.38000000000001</v>
      </c>
    </row>
    <row r="21" spans="1:48" ht="16.5" x14ac:dyDescent="0.3">
      <c r="A21" s="22" t="s">
        <v>972</v>
      </c>
      <c r="B21" s="22" t="s">
        <v>973</v>
      </c>
      <c r="C21" s="22" t="s">
        <v>47</v>
      </c>
      <c r="D21" s="22" t="s">
        <v>958</v>
      </c>
      <c r="E21" s="22" t="s">
        <v>959</v>
      </c>
      <c r="F21" s="22" t="s">
        <v>958</v>
      </c>
      <c r="G21" s="22" t="s">
        <v>959</v>
      </c>
      <c r="H21" s="22" t="s">
        <v>968</v>
      </c>
      <c r="I21" s="22" t="s">
        <v>969</v>
      </c>
      <c r="J21" s="23">
        <v>1</v>
      </c>
      <c r="K21" s="24">
        <v>19.36</v>
      </c>
      <c r="L21" s="25">
        <v>3.0244</v>
      </c>
      <c r="M21" s="26">
        <v>100</v>
      </c>
      <c r="N21" s="24">
        <v>99.67</v>
      </c>
      <c r="O21" s="24">
        <v>99.69</v>
      </c>
      <c r="P21" s="24">
        <v>99.69</v>
      </c>
      <c r="Q21" s="24">
        <v>0.08</v>
      </c>
      <c r="R21" s="24">
        <v>0.31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3">
        <v>0</v>
      </c>
      <c r="Y21" s="23">
        <v>0</v>
      </c>
      <c r="Z21" s="27">
        <v>0.33510000000000001</v>
      </c>
      <c r="AA21" s="27">
        <v>7.4099999999999999E-2</v>
      </c>
      <c r="AB21" s="27">
        <v>0.22720000000000001</v>
      </c>
      <c r="AC21" s="27">
        <v>5.9999999999999995E-4</v>
      </c>
      <c r="AD21" s="24">
        <v>-8.65</v>
      </c>
      <c r="AE21" s="24">
        <v>-98.39</v>
      </c>
      <c r="AF21" s="24">
        <v>99.96</v>
      </c>
      <c r="AG21" s="24">
        <v>87.5</v>
      </c>
      <c r="AH21" s="26">
        <v>100</v>
      </c>
      <c r="AI21" s="27">
        <v>0.99980000000000002</v>
      </c>
      <c r="AJ21" s="27">
        <v>2.0000000000000001E-4</v>
      </c>
      <c r="AK21" s="26">
        <v>140</v>
      </c>
      <c r="AL21" s="26">
        <v>0</v>
      </c>
      <c r="AM21" s="26">
        <v>0</v>
      </c>
      <c r="AN21" s="26">
        <v>0</v>
      </c>
      <c r="AO21" s="26">
        <v>45</v>
      </c>
      <c r="AP21" s="23">
        <v>1</v>
      </c>
      <c r="AQ21" s="27">
        <v>2.9700000000000001E-2</v>
      </c>
      <c r="AR21" s="26">
        <v>789501600</v>
      </c>
      <c r="AS21" s="25">
        <v>34.631700000000002</v>
      </c>
      <c r="AT21" s="25">
        <v>167.1191</v>
      </c>
      <c r="AU21" s="25">
        <v>687.35630000000003</v>
      </c>
      <c r="AV21">
        <f t="shared" si="0"/>
        <v>100</v>
      </c>
    </row>
    <row r="22" spans="1:48" ht="16.5" x14ac:dyDescent="0.3">
      <c r="A22" s="22" t="s">
        <v>973</v>
      </c>
      <c r="B22" s="22" t="s">
        <v>974</v>
      </c>
      <c r="C22" s="22" t="s">
        <v>47</v>
      </c>
      <c r="D22" s="22" t="s">
        <v>958</v>
      </c>
      <c r="E22" s="22" t="s">
        <v>959</v>
      </c>
      <c r="F22" s="22" t="s">
        <v>958</v>
      </c>
      <c r="G22" s="22" t="s">
        <v>959</v>
      </c>
      <c r="H22" s="22" t="s">
        <v>962</v>
      </c>
      <c r="I22" s="22" t="s">
        <v>963</v>
      </c>
      <c r="J22" s="23">
        <v>1</v>
      </c>
      <c r="K22" s="24">
        <v>42.13</v>
      </c>
      <c r="L22" s="25">
        <v>6.3070000000000004</v>
      </c>
      <c r="M22" s="24">
        <v>99.66</v>
      </c>
      <c r="N22" s="24">
        <v>99.71</v>
      </c>
      <c r="O22" s="24">
        <v>99.71</v>
      </c>
      <c r="P22" s="24">
        <v>99.71</v>
      </c>
      <c r="Q22" s="24">
        <v>0.03</v>
      </c>
      <c r="R22" s="24">
        <v>0.16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3">
        <v>0</v>
      </c>
      <c r="Y22" s="27">
        <v>1E-4</v>
      </c>
      <c r="Z22" s="27">
        <v>0.61750000000000005</v>
      </c>
      <c r="AA22" s="27">
        <v>0.37159999999999999</v>
      </c>
      <c r="AB22" s="27">
        <v>0.23019999999999999</v>
      </c>
      <c r="AC22" s="27">
        <v>5.0000000000000001E-4</v>
      </c>
      <c r="AD22" s="24">
        <v>-10.65</v>
      </c>
      <c r="AE22" s="24">
        <v>-92.5</v>
      </c>
      <c r="AF22" s="24">
        <v>99.97</v>
      </c>
      <c r="AG22" s="26">
        <v>100</v>
      </c>
      <c r="AH22" s="26">
        <v>100</v>
      </c>
      <c r="AI22" s="27">
        <v>0.99990000000000001</v>
      </c>
      <c r="AJ22" s="27">
        <v>2.9999999999999997E-4</v>
      </c>
      <c r="AK22" s="26">
        <v>381</v>
      </c>
      <c r="AL22" s="26">
        <v>0</v>
      </c>
      <c r="AM22" s="26">
        <v>0</v>
      </c>
      <c r="AN22" s="26">
        <v>0</v>
      </c>
      <c r="AO22" s="26">
        <v>34</v>
      </c>
      <c r="AP22" s="23">
        <v>1</v>
      </c>
      <c r="AQ22" s="27">
        <v>0.1515</v>
      </c>
      <c r="AR22" s="26">
        <v>789501600</v>
      </c>
      <c r="AS22" s="25">
        <v>72.805000000000007</v>
      </c>
      <c r="AT22" s="25">
        <v>307.08510000000001</v>
      </c>
      <c r="AU22" s="25">
        <v>1452.0933</v>
      </c>
      <c r="AV22">
        <f t="shared" si="0"/>
        <v>100</v>
      </c>
    </row>
    <row r="23" spans="1:48" ht="16.5" x14ac:dyDescent="0.3">
      <c r="A23" s="22" t="s">
        <v>973</v>
      </c>
      <c r="B23" s="22" t="s">
        <v>974</v>
      </c>
      <c r="C23" s="22" t="s">
        <v>47</v>
      </c>
      <c r="D23" s="22" t="s">
        <v>958</v>
      </c>
      <c r="E23" s="22" t="s">
        <v>959</v>
      </c>
      <c r="F23" s="22" t="s">
        <v>958</v>
      </c>
      <c r="G23" s="22" t="s">
        <v>959</v>
      </c>
      <c r="H23" s="22" t="s">
        <v>964</v>
      </c>
      <c r="I23" s="22" t="s">
        <v>965</v>
      </c>
      <c r="J23" s="23">
        <v>1</v>
      </c>
      <c r="K23" s="24">
        <v>19.32</v>
      </c>
      <c r="L23" s="25">
        <v>4.1420000000000003</v>
      </c>
      <c r="M23" s="24">
        <v>99.77</v>
      </c>
      <c r="N23" s="24">
        <v>99.73</v>
      </c>
      <c r="O23" s="24">
        <v>99.73</v>
      </c>
      <c r="P23" s="24">
        <v>99.73</v>
      </c>
      <c r="Q23" s="24">
        <v>0.08</v>
      </c>
      <c r="R23" s="24">
        <v>0.37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3">
        <v>0</v>
      </c>
      <c r="Y23" s="27">
        <v>1E-4</v>
      </c>
      <c r="Z23" s="27">
        <v>0.44640000000000002</v>
      </c>
      <c r="AA23" s="27">
        <v>0.1022</v>
      </c>
      <c r="AB23" s="27">
        <v>0.18010000000000001</v>
      </c>
      <c r="AC23" s="27">
        <v>1.5E-3</v>
      </c>
      <c r="AD23" s="24">
        <v>-9.7100000000000009</v>
      </c>
      <c r="AE23" s="24">
        <v>-98.7</v>
      </c>
      <c r="AF23" s="24">
        <v>99.89</v>
      </c>
      <c r="AG23" s="26">
        <v>100</v>
      </c>
      <c r="AH23" s="24">
        <v>88.89</v>
      </c>
      <c r="AI23" s="27">
        <v>0.99629999999999996</v>
      </c>
      <c r="AJ23" s="27">
        <v>1.2999999999999999E-3</v>
      </c>
      <c r="AK23" s="26">
        <v>223</v>
      </c>
      <c r="AL23" s="26">
        <v>0</v>
      </c>
      <c r="AM23" s="26">
        <v>0</v>
      </c>
      <c r="AN23" s="26">
        <v>0</v>
      </c>
      <c r="AO23" s="26">
        <v>13</v>
      </c>
      <c r="AP23" s="23">
        <v>1</v>
      </c>
      <c r="AQ23" s="27">
        <v>4.3799999999999999E-2</v>
      </c>
      <c r="AR23" s="26">
        <v>789501600</v>
      </c>
      <c r="AS23" s="25">
        <v>43.835000000000001</v>
      </c>
      <c r="AT23" s="25">
        <v>225.8004</v>
      </c>
      <c r="AU23" s="25">
        <v>924.79740000000004</v>
      </c>
      <c r="AV23">
        <f t="shared" si="0"/>
        <v>100</v>
      </c>
    </row>
    <row r="24" spans="1:48" ht="16.5" x14ac:dyDescent="0.3">
      <c r="A24" s="22" t="s">
        <v>973</v>
      </c>
      <c r="B24" s="22" t="s">
        <v>974</v>
      </c>
      <c r="C24" s="22" t="s">
        <v>47</v>
      </c>
      <c r="D24" s="22" t="s">
        <v>958</v>
      </c>
      <c r="E24" s="22" t="s">
        <v>959</v>
      </c>
      <c r="F24" s="22" t="s">
        <v>958</v>
      </c>
      <c r="G24" s="22" t="s">
        <v>959</v>
      </c>
      <c r="H24" s="22" t="s">
        <v>966</v>
      </c>
      <c r="I24" s="22" t="s">
        <v>967</v>
      </c>
      <c r="J24" s="23">
        <v>1</v>
      </c>
      <c r="K24" s="24">
        <v>47.55</v>
      </c>
      <c r="L24" s="25">
        <v>4.8529</v>
      </c>
      <c r="M24" s="24">
        <v>99.7</v>
      </c>
      <c r="N24" s="24">
        <v>99.75</v>
      </c>
      <c r="O24" s="24">
        <v>99.75</v>
      </c>
      <c r="P24" s="24">
        <v>99.75</v>
      </c>
      <c r="Q24" s="24">
        <v>0.03</v>
      </c>
      <c r="R24" s="24">
        <v>0.34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3">
        <v>0</v>
      </c>
      <c r="Y24" s="27">
        <v>8.9999999999999998E-4</v>
      </c>
      <c r="Z24" s="27">
        <v>0.47489999999999999</v>
      </c>
      <c r="AA24" s="27">
        <v>0.128</v>
      </c>
      <c r="AB24" s="27">
        <v>0.24579999999999999</v>
      </c>
      <c r="AC24" s="27">
        <v>6.9999999999999999E-4</v>
      </c>
      <c r="AD24" s="24">
        <v>-9.23</v>
      </c>
      <c r="AE24" s="24">
        <v>-91.38</v>
      </c>
      <c r="AF24" s="24">
        <v>99.93</v>
      </c>
      <c r="AG24" s="26">
        <v>100</v>
      </c>
      <c r="AH24" s="26">
        <v>100</v>
      </c>
      <c r="AI24" s="27">
        <v>0.99980000000000002</v>
      </c>
      <c r="AJ24" s="27">
        <v>1.2999999999999999E-3</v>
      </c>
      <c r="AK24" s="26">
        <v>149</v>
      </c>
      <c r="AL24" s="26">
        <v>0</v>
      </c>
      <c r="AM24" s="26">
        <v>0</v>
      </c>
      <c r="AN24" s="26">
        <v>0</v>
      </c>
      <c r="AO24" s="26">
        <v>38</v>
      </c>
      <c r="AP24" s="23">
        <v>1</v>
      </c>
      <c r="AQ24" s="27">
        <v>4.9700000000000001E-2</v>
      </c>
      <c r="AR24" s="26">
        <v>789501600</v>
      </c>
      <c r="AS24" s="25">
        <v>58.9617</v>
      </c>
      <c r="AT24" s="25">
        <v>283.70600000000002</v>
      </c>
      <c r="AU24" s="25">
        <v>1058.2021999999999</v>
      </c>
      <c r="AV24">
        <f t="shared" si="0"/>
        <v>100</v>
      </c>
    </row>
    <row r="25" spans="1:48" ht="16.5" x14ac:dyDescent="0.3">
      <c r="A25" s="22" t="s">
        <v>973</v>
      </c>
      <c r="B25" s="22" t="s">
        <v>974</v>
      </c>
      <c r="C25" s="22" t="s">
        <v>47</v>
      </c>
      <c r="D25" s="22" t="s">
        <v>958</v>
      </c>
      <c r="E25" s="22" t="s">
        <v>959</v>
      </c>
      <c r="F25" s="22" t="s">
        <v>958</v>
      </c>
      <c r="G25" s="22" t="s">
        <v>959</v>
      </c>
      <c r="H25" s="22" t="s">
        <v>968</v>
      </c>
      <c r="I25" s="22" t="s">
        <v>969</v>
      </c>
      <c r="J25" s="23">
        <v>1</v>
      </c>
      <c r="K25" s="24">
        <v>21.73</v>
      </c>
      <c r="L25" s="25">
        <v>2.8193999999999999</v>
      </c>
      <c r="M25" s="24">
        <v>99.93</v>
      </c>
      <c r="N25" s="24">
        <v>99.6</v>
      </c>
      <c r="O25" s="24">
        <v>99.61</v>
      </c>
      <c r="P25" s="24">
        <v>99.61</v>
      </c>
      <c r="Q25" s="24">
        <v>0.08</v>
      </c>
      <c r="R25" s="24">
        <v>0.23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3">
        <v>0</v>
      </c>
      <c r="Y25" s="23">
        <v>0</v>
      </c>
      <c r="Z25" s="27">
        <v>0.28860000000000002</v>
      </c>
      <c r="AA25" s="27">
        <v>9.0999999999999998E-2</v>
      </c>
      <c r="AB25" s="27">
        <v>0.22509999999999999</v>
      </c>
      <c r="AC25" s="27">
        <v>5.9999999999999995E-4</v>
      </c>
      <c r="AD25" s="24">
        <v>-7.91</v>
      </c>
      <c r="AE25" s="24">
        <v>-98.47</v>
      </c>
      <c r="AF25" s="24">
        <v>99.97</v>
      </c>
      <c r="AG25" s="26">
        <v>90</v>
      </c>
      <c r="AH25" s="26">
        <v>100</v>
      </c>
      <c r="AI25" s="23">
        <v>1</v>
      </c>
      <c r="AJ25" s="27">
        <v>2.0000000000000001E-4</v>
      </c>
      <c r="AK25" s="26">
        <v>60</v>
      </c>
      <c r="AL25" s="26">
        <v>0</v>
      </c>
      <c r="AM25" s="26">
        <v>0</v>
      </c>
      <c r="AN25" s="26">
        <v>0</v>
      </c>
      <c r="AO25" s="26">
        <v>30</v>
      </c>
      <c r="AP25" s="23">
        <v>1</v>
      </c>
      <c r="AQ25" s="27">
        <v>3.4799999999999998E-2</v>
      </c>
      <c r="AR25" s="26">
        <v>789501600</v>
      </c>
      <c r="AS25" s="25">
        <v>35.635100000000001</v>
      </c>
      <c r="AT25" s="25">
        <v>143.90299999999999</v>
      </c>
      <c r="AU25" s="25">
        <v>645.64859999999999</v>
      </c>
      <c r="AV25">
        <f t="shared" si="0"/>
        <v>100</v>
      </c>
    </row>
    <row r="26" spans="1:48" ht="16.5" x14ac:dyDescent="0.3">
      <c r="A26" s="22" t="s">
        <v>974</v>
      </c>
      <c r="B26" s="22" t="s">
        <v>975</v>
      </c>
      <c r="C26" s="22" t="s">
        <v>47</v>
      </c>
      <c r="D26" s="22" t="s">
        <v>958</v>
      </c>
      <c r="E26" s="22" t="s">
        <v>959</v>
      </c>
      <c r="F26" s="22" t="s">
        <v>958</v>
      </c>
      <c r="G26" s="22" t="s">
        <v>959</v>
      </c>
      <c r="H26" s="22" t="s">
        <v>962</v>
      </c>
      <c r="I26" s="22" t="s">
        <v>963</v>
      </c>
      <c r="J26" s="23">
        <v>1</v>
      </c>
      <c r="K26" s="24">
        <v>44.19</v>
      </c>
      <c r="L26" s="25">
        <v>6.4947999999999997</v>
      </c>
      <c r="M26" s="24">
        <v>99.69</v>
      </c>
      <c r="N26" s="24">
        <v>99.77</v>
      </c>
      <c r="O26" s="24">
        <v>99.78</v>
      </c>
      <c r="P26" s="24">
        <v>99.78</v>
      </c>
      <c r="Q26" s="26">
        <v>0</v>
      </c>
      <c r="R26" s="24">
        <v>0.11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3">
        <v>0</v>
      </c>
      <c r="Y26" s="23">
        <v>0</v>
      </c>
      <c r="Z26" s="27">
        <v>0.6079</v>
      </c>
      <c r="AA26" s="27">
        <v>0.40179999999999999</v>
      </c>
      <c r="AB26" s="27">
        <v>0.23180000000000001</v>
      </c>
      <c r="AC26" s="27">
        <v>5.9999999999999995E-4</v>
      </c>
      <c r="AD26" s="24">
        <v>-10.55</v>
      </c>
      <c r="AE26" s="24">
        <v>-93.88</v>
      </c>
      <c r="AF26" s="24">
        <v>99.95</v>
      </c>
      <c r="AG26" s="24">
        <v>84.62</v>
      </c>
      <c r="AH26" s="26">
        <v>100</v>
      </c>
      <c r="AI26" s="27">
        <v>0.99990000000000001</v>
      </c>
      <c r="AJ26" s="27">
        <v>1E-4</v>
      </c>
      <c r="AK26" s="26">
        <v>384</v>
      </c>
      <c r="AL26" s="26">
        <v>0</v>
      </c>
      <c r="AM26" s="26">
        <v>0</v>
      </c>
      <c r="AN26" s="26">
        <v>0</v>
      </c>
      <c r="AO26" s="26">
        <v>65</v>
      </c>
      <c r="AP26" s="23">
        <v>1</v>
      </c>
      <c r="AQ26" s="27">
        <v>0.16189999999999999</v>
      </c>
      <c r="AR26" s="26">
        <v>789501600</v>
      </c>
      <c r="AS26" s="25">
        <v>74.173299999999998</v>
      </c>
      <c r="AT26" s="25">
        <v>316.9821</v>
      </c>
      <c r="AU26" s="25">
        <v>1491.3919000000001</v>
      </c>
      <c r="AV26">
        <f t="shared" si="0"/>
        <v>100</v>
      </c>
    </row>
    <row r="27" spans="1:48" ht="16.5" x14ac:dyDescent="0.3">
      <c r="A27" s="22" t="s">
        <v>974</v>
      </c>
      <c r="B27" s="22" t="s">
        <v>975</v>
      </c>
      <c r="C27" s="22" t="s">
        <v>47</v>
      </c>
      <c r="D27" s="22" t="s">
        <v>958</v>
      </c>
      <c r="E27" s="22" t="s">
        <v>959</v>
      </c>
      <c r="F27" s="22" t="s">
        <v>958</v>
      </c>
      <c r="G27" s="22" t="s">
        <v>959</v>
      </c>
      <c r="H27" s="22" t="s">
        <v>964</v>
      </c>
      <c r="I27" s="22" t="s">
        <v>965</v>
      </c>
      <c r="J27" s="23">
        <v>1</v>
      </c>
      <c r="K27" s="24">
        <v>21.87</v>
      </c>
      <c r="L27" s="25">
        <v>3.9300999999999999</v>
      </c>
      <c r="M27" s="24">
        <v>99.76</v>
      </c>
      <c r="N27" s="24">
        <v>99.57</v>
      </c>
      <c r="O27" s="24">
        <v>99.55</v>
      </c>
      <c r="P27" s="24">
        <v>99.55</v>
      </c>
      <c r="Q27" s="24">
        <v>0.08</v>
      </c>
      <c r="R27" s="24">
        <v>0.34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3">
        <v>0</v>
      </c>
      <c r="Y27" s="23">
        <v>0</v>
      </c>
      <c r="Z27" s="27">
        <v>0.41920000000000002</v>
      </c>
      <c r="AA27" s="27">
        <v>0.1055</v>
      </c>
      <c r="AB27" s="27">
        <v>0.1739</v>
      </c>
      <c r="AC27" s="27">
        <v>8.0000000000000004E-4</v>
      </c>
      <c r="AD27" s="24">
        <v>-9.42</v>
      </c>
      <c r="AE27" s="24">
        <v>-98.62</v>
      </c>
      <c r="AF27" s="24">
        <v>99.9</v>
      </c>
      <c r="AG27" s="24">
        <v>82.35</v>
      </c>
      <c r="AH27" s="24">
        <v>85.71</v>
      </c>
      <c r="AI27" s="27">
        <v>0.99990000000000001</v>
      </c>
      <c r="AJ27" s="27">
        <v>2E-3</v>
      </c>
      <c r="AK27" s="26">
        <v>252</v>
      </c>
      <c r="AL27" s="26">
        <v>0</v>
      </c>
      <c r="AM27" s="26">
        <v>0</v>
      </c>
      <c r="AN27" s="26">
        <v>0</v>
      </c>
      <c r="AO27" s="26">
        <v>27</v>
      </c>
      <c r="AP27" s="23">
        <v>1</v>
      </c>
      <c r="AQ27" s="27">
        <v>4.5999999999999999E-2</v>
      </c>
      <c r="AR27" s="26">
        <v>789501600</v>
      </c>
      <c r="AS27" s="25">
        <v>43.354999999999997</v>
      </c>
      <c r="AT27" s="25">
        <v>195.70689999999999</v>
      </c>
      <c r="AU27" s="25">
        <v>897.5249</v>
      </c>
      <c r="AV27">
        <f t="shared" si="0"/>
        <v>100</v>
      </c>
    </row>
    <row r="28" spans="1:48" ht="16.5" x14ac:dyDescent="0.3">
      <c r="A28" s="22" t="s">
        <v>974</v>
      </c>
      <c r="B28" s="22" t="s">
        <v>975</v>
      </c>
      <c r="C28" s="22" t="s">
        <v>47</v>
      </c>
      <c r="D28" s="22" t="s">
        <v>958</v>
      </c>
      <c r="E28" s="22" t="s">
        <v>959</v>
      </c>
      <c r="F28" s="22" t="s">
        <v>958</v>
      </c>
      <c r="G28" s="22" t="s">
        <v>959</v>
      </c>
      <c r="H28" s="22" t="s">
        <v>966</v>
      </c>
      <c r="I28" s="22" t="s">
        <v>967</v>
      </c>
      <c r="J28" s="27">
        <v>0.87519999999999998</v>
      </c>
      <c r="K28" s="24">
        <v>42.84</v>
      </c>
      <c r="L28" s="25">
        <v>4.3121999999999998</v>
      </c>
      <c r="M28" s="24">
        <v>99.76</v>
      </c>
      <c r="N28" s="24">
        <v>99.78</v>
      </c>
      <c r="O28" s="24">
        <v>99.77</v>
      </c>
      <c r="P28" s="24">
        <v>99.77</v>
      </c>
      <c r="Q28" s="24">
        <v>0.11</v>
      </c>
      <c r="R28" s="24">
        <v>0.28999999999999998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3">
        <v>0</v>
      </c>
      <c r="Y28" s="27">
        <v>2.9999999999999997E-4</v>
      </c>
      <c r="Z28" s="27">
        <v>0.45850000000000002</v>
      </c>
      <c r="AA28" s="27">
        <v>0.1193</v>
      </c>
      <c r="AB28" s="27">
        <v>0.21890000000000001</v>
      </c>
      <c r="AC28" s="27">
        <v>6.9999999999999999E-4</v>
      </c>
      <c r="AD28" s="24">
        <v>-9.26</v>
      </c>
      <c r="AE28" s="24">
        <v>-91.88</v>
      </c>
      <c r="AF28" s="24">
        <v>99.92</v>
      </c>
      <c r="AG28" s="24">
        <v>77.78</v>
      </c>
      <c r="AH28" s="24">
        <v>85.71</v>
      </c>
      <c r="AI28" s="27">
        <v>0.99990000000000001</v>
      </c>
      <c r="AJ28" s="27">
        <v>1.1000000000000001E-3</v>
      </c>
      <c r="AK28" s="26">
        <v>145</v>
      </c>
      <c r="AL28" s="26">
        <v>0</v>
      </c>
      <c r="AM28" s="26">
        <v>0</v>
      </c>
      <c r="AN28" s="26">
        <v>0</v>
      </c>
      <c r="AO28" s="26">
        <v>36</v>
      </c>
      <c r="AP28" s="23">
        <v>1</v>
      </c>
      <c r="AQ28" s="27">
        <v>4.5600000000000002E-2</v>
      </c>
      <c r="AR28" s="26">
        <v>789504295</v>
      </c>
      <c r="AS28" s="25">
        <v>53.471800000000002</v>
      </c>
      <c r="AT28" s="25">
        <v>225.7192</v>
      </c>
      <c r="AU28" s="25">
        <v>966.55920000000003</v>
      </c>
      <c r="AV28">
        <f t="shared" si="0"/>
        <v>87.52</v>
      </c>
    </row>
    <row r="29" spans="1:48" ht="16.5" x14ac:dyDescent="0.3">
      <c r="A29" s="22" t="s">
        <v>974</v>
      </c>
      <c r="B29" s="22" t="s">
        <v>975</v>
      </c>
      <c r="C29" s="22" t="s">
        <v>47</v>
      </c>
      <c r="D29" s="22" t="s">
        <v>958</v>
      </c>
      <c r="E29" s="22" t="s">
        <v>959</v>
      </c>
      <c r="F29" s="22" t="s">
        <v>958</v>
      </c>
      <c r="G29" s="22" t="s">
        <v>959</v>
      </c>
      <c r="H29" s="22" t="s">
        <v>968</v>
      </c>
      <c r="I29" s="22" t="s">
        <v>969</v>
      </c>
      <c r="J29" s="23">
        <v>1</v>
      </c>
      <c r="K29" s="24">
        <v>18.54</v>
      </c>
      <c r="L29" s="25">
        <v>2.7624</v>
      </c>
      <c r="M29" s="24">
        <v>99.62</v>
      </c>
      <c r="N29" s="24">
        <v>99.73</v>
      </c>
      <c r="O29" s="24">
        <v>99.71</v>
      </c>
      <c r="P29" s="24">
        <v>99.71</v>
      </c>
      <c r="Q29" s="26">
        <v>0</v>
      </c>
      <c r="R29" s="24">
        <v>0.14000000000000001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3">
        <v>0</v>
      </c>
      <c r="Y29" s="23">
        <v>0</v>
      </c>
      <c r="Z29" s="27">
        <v>0.2928</v>
      </c>
      <c r="AA29" s="27">
        <v>8.2900000000000001E-2</v>
      </c>
      <c r="AB29" s="27">
        <v>0.2271</v>
      </c>
      <c r="AC29" s="27">
        <v>4.0000000000000002E-4</v>
      </c>
      <c r="AD29" s="24">
        <v>-8.0299999999999994</v>
      </c>
      <c r="AE29" s="24">
        <v>-98.63</v>
      </c>
      <c r="AF29" s="24">
        <v>99.95</v>
      </c>
      <c r="AG29" s="24">
        <v>90.91</v>
      </c>
      <c r="AH29" s="26">
        <v>100</v>
      </c>
      <c r="AI29" s="23">
        <v>1</v>
      </c>
      <c r="AJ29" s="27">
        <v>5.0000000000000001E-4</v>
      </c>
      <c r="AK29" s="26">
        <v>173</v>
      </c>
      <c r="AL29" s="26">
        <v>0</v>
      </c>
      <c r="AM29" s="26">
        <v>0</v>
      </c>
      <c r="AN29" s="26">
        <v>0</v>
      </c>
      <c r="AO29" s="26">
        <v>33</v>
      </c>
      <c r="AP29" s="23">
        <v>1</v>
      </c>
      <c r="AQ29" s="27">
        <v>3.27E-2</v>
      </c>
      <c r="AR29" s="26">
        <v>789501600</v>
      </c>
      <c r="AS29" s="25">
        <v>33.423400000000001</v>
      </c>
      <c r="AT29" s="25">
        <v>158.0103</v>
      </c>
      <c r="AU29" s="25">
        <v>606.47550000000001</v>
      </c>
      <c r="AV29">
        <f t="shared" si="0"/>
        <v>100</v>
      </c>
    </row>
    <row r="30" spans="1:48" ht="16.5" x14ac:dyDescent="0.3">
      <c r="A30" s="22" t="s">
        <v>975</v>
      </c>
      <c r="B30" s="22" t="s">
        <v>976</v>
      </c>
      <c r="C30" s="22" t="s">
        <v>47</v>
      </c>
      <c r="D30" s="22" t="s">
        <v>958</v>
      </c>
      <c r="E30" s="22" t="s">
        <v>959</v>
      </c>
      <c r="F30" s="22" t="s">
        <v>958</v>
      </c>
      <c r="G30" s="22" t="s">
        <v>959</v>
      </c>
      <c r="H30" s="22" t="s">
        <v>962</v>
      </c>
      <c r="I30" s="22" t="s">
        <v>963</v>
      </c>
      <c r="J30" s="23">
        <v>1</v>
      </c>
      <c r="K30" s="24">
        <v>44.34</v>
      </c>
      <c r="L30" s="25">
        <v>6.5041000000000002</v>
      </c>
      <c r="M30" s="24">
        <v>99.81</v>
      </c>
      <c r="N30" s="24">
        <v>99.74</v>
      </c>
      <c r="O30" s="24">
        <v>99.74</v>
      </c>
      <c r="P30" s="24">
        <v>99.75</v>
      </c>
      <c r="Q30" s="24">
        <v>0.03</v>
      </c>
      <c r="R30" s="24">
        <v>0.11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3">
        <v>0</v>
      </c>
      <c r="Y30" s="23">
        <v>0</v>
      </c>
      <c r="Z30" s="27">
        <v>0.6079</v>
      </c>
      <c r="AA30" s="27">
        <v>0.40710000000000002</v>
      </c>
      <c r="AB30" s="27">
        <v>0.2432</v>
      </c>
      <c r="AC30" s="27">
        <v>5.9999999999999995E-4</v>
      </c>
      <c r="AD30" s="24">
        <v>-10.69</v>
      </c>
      <c r="AE30" s="24">
        <v>-93.97</v>
      </c>
      <c r="AF30" s="24">
        <v>99.96</v>
      </c>
      <c r="AG30" s="26">
        <v>100</v>
      </c>
      <c r="AH30" s="26">
        <v>100</v>
      </c>
      <c r="AI30" s="27">
        <v>0.99990000000000001</v>
      </c>
      <c r="AJ30" s="27">
        <v>5.0000000000000001E-4</v>
      </c>
      <c r="AK30" s="26">
        <v>247</v>
      </c>
      <c r="AL30" s="26">
        <v>0</v>
      </c>
      <c r="AM30" s="26">
        <v>0</v>
      </c>
      <c r="AN30" s="26">
        <v>0</v>
      </c>
      <c r="AO30" s="26">
        <v>57</v>
      </c>
      <c r="AP30" s="23">
        <v>1</v>
      </c>
      <c r="AQ30" s="27">
        <v>0.15840000000000001</v>
      </c>
      <c r="AR30" s="26">
        <v>789501600</v>
      </c>
      <c r="AS30" s="25">
        <v>72.776700000000005</v>
      </c>
      <c r="AT30" s="25">
        <v>287.90839999999997</v>
      </c>
      <c r="AU30" s="25">
        <v>1524.3396</v>
      </c>
      <c r="AV30">
        <f t="shared" si="0"/>
        <v>100</v>
      </c>
    </row>
    <row r="31" spans="1:48" ht="16.5" x14ac:dyDescent="0.3">
      <c r="A31" s="22" t="s">
        <v>975</v>
      </c>
      <c r="B31" s="22" t="s">
        <v>976</v>
      </c>
      <c r="C31" s="22" t="s">
        <v>47</v>
      </c>
      <c r="D31" s="22" t="s">
        <v>958</v>
      </c>
      <c r="E31" s="22" t="s">
        <v>959</v>
      </c>
      <c r="F31" s="22" t="s">
        <v>958</v>
      </c>
      <c r="G31" s="22" t="s">
        <v>959</v>
      </c>
      <c r="H31" s="22" t="s">
        <v>964</v>
      </c>
      <c r="I31" s="22" t="s">
        <v>965</v>
      </c>
      <c r="J31" s="23">
        <v>1</v>
      </c>
      <c r="K31" s="24">
        <v>20.78</v>
      </c>
      <c r="L31" s="25">
        <v>4.6402000000000001</v>
      </c>
      <c r="M31" s="24">
        <v>99.64</v>
      </c>
      <c r="N31" s="24">
        <v>99.73</v>
      </c>
      <c r="O31" s="24">
        <v>99.72</v>
      </c>
      <c r="P31" s="24">
        <v>99.72</v>
      </c>
      <c r="Q31" s="24">
        <v>0.23</v>
      </c>
      <c r="R31" s="24">
        <v>0.31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3">
        <v>0</v>
      </c>
      <c r="Y31" s="23">
        <v>0</v>
      </c>
      <c r="Z31" s="27">
        <v>0.44829999999999998</v>
      </c>
      <c r="AA31" s="27">
        <v>0.1132</v>
      </c>
      <c r="AB31" s="27">
        <v>0.17810000000000001</v>
      </c>
      <c r="AC31" s="27">
        <v>6.9999999999999999E-4</v>
      </c>
      <c r="AD31" s="24">
        <v>-9.86</v>
      </c>
      <c r="AE31" s="24">
        <v>-98.33</v>
      </c>
      <c r="AF31" s="24">
        <v>99.92</v>
      </c>
      <c r="AG31" s="24">
        <v>94.12</v>
      </c>
      <c r="AH31" s="26">
        <v>100</v>
      </c>
      <c r="AI31" s="27">
        <v>0.99980000000000002</v>
      </c>
      <c r="AJ31" s="27">
        <v>5.4999999999999997E-3</v>
      </c>
      <c r="AK31" s="26">
        <v>271</v>
      </c>
      <c r="AL31" s="26">
        <v>0</v>
      </c>
      <c r="AM31" s="26">
        <v>0</v>
      </c>
      <c r="AN31" s="26">
        <v>0</v>
      </c>
      <c r="AO31" s="26">
        <v>18</v>
      </c>
      <c r="AP31" s="23">
        <v>1</v>
      </c>
      <c r="AQ31" s="27">
        <v>4.8099999999999997E-2</v>
      </c>
      <c r="AR31" s="26">
        <v>789501600</v>
      </c>
      <c r="AS31" s="25">
        <v>44.938299999999998</v>
      </c>
      <c r="AT31" s="25">
        <v>210.58269999999999</v>
      </c>
      <c r="AU31" s="25">
        <v>1088.0027</v>
      </c>
      <c r="AV31">
        <f t="shared" si="0"/>
        <v>100</v>
      </c>
    </row>
    <row r="32" spans="1:48" ht="16.5" x14ac:dyDescent="0.3">
      <c r="A32" s="22" t="s">
        <v>975</v>
      </c>
      <c r="B32" s="22" t="s">
        <v>976</v>
      </c>
      <c r="C32" s="22" t="s">
        <v>47</v>
      </c>
      <c r="D32" s="22" t="s">
        <v>958</v>
      </c>
      <c r="E32" s="22" t="s">
        <v>959</v>
      </c>
      <c r="F32" s="22" t="s">
        <v>958</v>
      </c>
      <c r="G32" s="22" t="s">
        <v>959</v>
      </c>
      <c r="H32" s="22" t="s">
        <v>966</v>
      </c>
      <c r="I32" s="22" t="s">
        <v>967</v>
      </c>
      <c r="J32" s="23">
        <v>1</v>
      </c>
      <c r="K32" s="24">
        <v>46.54</v>
      </c>
      <c r="L32" s="25">
        <v>5.1616999999999997</v>
      </c>
      <c r="M32" s="24">
        <v>99.91</v>
      </c>
      <c r="N32" s="24">
        <v>99.84</v>
      </c>
      <c r="O32" s="24">
        <v>99.81</v>
      </c>
      <c r="P32" s="24">
        <v>99.81</v>
      </c>
      <c r="Q32" s="24">
        <v>0.19</v>
      </c>
      <c r="R32" s="24">
        <v>0.33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3">
        <v>0</v>
      </c>
      <c r="Y32" s="27">
        <v>6.9999999999999999E-4</v>
      </c>
      <c r="Z32" s="27">
        <v>0.46650000000000003</v>
      </c>
      <c r="AA32" s="27">
        <v>0.1075</v>
      </c>
      <c r="AB32" s="27">
        <v>0.25790000000000002</v>
      </c>
      <c r="AC32" s="27">
        <v>8.9999999999999998E-4</v>
      </c>
      <c r="AD32" s="24">
        <v>-8.94</v>
      </c>
      <c r="AE32" s="24">
        <v>-92.25</v>
      </c>
      <c r="AF32" s="24">
        <v>99.93</v>
      </c>
      <c r="AG32" s="24">
        <v>88.89</v>
      </c>
      <c r="AH32" s="24">
        <v>85.71</v>
      </c>
      <c r="AI32" s="27">
        <v>0.99990000000000001</v>
      </c>
      <c r="AJ32" s="27">
        <v>1.1999999999999999E-3</v>
      </c>
      <c r="AK32" s="26">
        <v>256</v>
      </c>
      <c r="AL32" s="26">
        <v>0</v>
      </c>
      <c r="AM32" s="26">
        <v>0</v>
      </c>
      <c r="AN32" s="26">
        <v>0</v>
      </c>
      <c r="AO32" s="26">
        <v>41</v>
      </c>
      <c r="AP32" s="23">
        <v>1</v>
      </c>
      <c r="AQ32" s="27">
        <v>4.1000000000000002E-2</v>
      </c>
      <c r="AR32" s="26">
        <v>789501600</v>
      </c>
      <c r="AS32" s="25">
        <v>54.848300000000002</v>
      </c>
      <c r="AT32" s="25">
        <v>220.32910000000001</v>
      </c>
      <c r="AU32" s="25">
        <v>1213.6361999999999</v>
      </c>
      <c r="AV32">
        <f t="shared" si="0"/>
        <v>100</v>
      </c>
    </row>
    <row r="33" spans="1:48" ht="16.5" x14ac:dyDescent="0.3">
      <c r="A33" s="22" t="s">
        <v>975</v>
      </c>
      <c r="B33" s="22" t="s">
        <v>976</v>
      </c>
      <c r="C33" s="22" t="s">
        <v>47</v>
      </c>
      <c r="D33" s="22" t="s">
        <v>958</v>
      </c>
      <c r="E33" s="22" t="s">
        <v>959</v>
      </c>
      <c r="F33" s="22" t="s">
        <v>958</v>
      </c>
      <c r="G33" s="22" t="s">
        <v>959</v>
      </c>
      <c r="H33" s="22" t="s">
        <v>968</v>
      </c>
      <c r="I33" s="22" t="s">
        <v>969</v>
      </c>
      <c r="J33" s="23">
        <v>1</v>
      </c>
      <c r="K33" s="24">
        <v>21.12</v>
      </c>
      <c r="L33" s="25">
        <v>2.4464999999999999</v>
      </c>
      <c r="M33" s="24">
        <v>99.68</v>
      </c>
      <c r="N33" s="24">
        <v>99.8</v>
      </c>
      <c r="O33" s="24">
        <v>99.79</v>
      </c>
      <c r="P33" s="24">
        <v>99.79</v>
      </c>
      <c r="Q33" s="24">
        <v>7.0000000000000007E-2</v>
      </c>
      <c r="R33" s="24">
        <v>0.2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3">
        <v>0</v>
      </c>
      <c r="Y33" s="23">
        <v>0</v>
      </c>
      <c r="Z33" s="27">
        <v>0.26479999999999998</v>
      </c>
      <c r="AA33" s="27">
        <v>8.1699999999999995E-2</v>
      </c>
      <c r="AB33" s="27">
        <v>0.23760000000000001</v>
      </c>
      <c r="AC33" s="27">
        <v>4.0000000000000002E-4</v>
      </c>
      <c r="AD33" s="24">
        <v>-8.06</v>
      </c>
      <c r="AE33" s="24">
        <v>-98.57</v>
      </c>
      <c r="AF33" s="24">
        <v>99.93</v>
      </c>
      <c r="AG33" s="26">
        <v>100</v>
      </c>
      <c r="AH33" s="26">
        <v>100</v>
      </c>
      <c r="AI33" s="27">
        <v>0.99990000000000001</v>
      </c>
      <c r="AJ33" s="27">
        <v>4.0000000000000002E-4</v>
      </c>
      <c r="AK33" s="26">
        <v>147</v>
      </c>
      <c r="AL33" s="26">
        <v>0</v>
      </c>
      <c r="AM33" s="26">
        <v>0</v>
      </c>
      <c r="AN33" s="26">
        <v>0</v>
      </c>
      <c r="AO33" s="26">
        <v>22</v>
      </c>
      <c r="AP33" s="23">
        <v>1</v>
      </c>
      <c r="AQ33" s="27">
        <v>3.15E-2</v>
      </c>
      <c r="AR33" s="26">
        <v>789501600</v>
      </c>
      <c r="AS33" s="25">
        <v>35.036700000000003</v>
      </c>
      <c r="AT33" s="25">
        <v>217.4417</v>
      </c>
      <c r="AU33" s="25">
        <v>469.14150000000001</v>
      </c>
      <c r="AV33">
        <f t="shared" si="0"/>
        <v>100</v>
      </c>
    </row>
    <row r="34" spans="1:48" ht="16.5" x14ac:dyDescent="0.3">
      <c r="A34" s="22" t="s">
        <v>976</v>
      </c>
      <c r="B34" s="22" t="s">
        <v>977</v>
      </c>
      <c r="C34" s="22" t="s">
        <v>47</v>
      </c>
      <c r="D34" s="22" t="s">
        <v>958</v>
      </c>
      <c r="E34" s="22" t="s">
        <v>959</v>
      </c>
      <c r="F34" s="22" t="s">
        <v>958</v>
      </c>
      <c r="G34" s="22" t="s">
        <v>959</v>
      </c>
      <c r="H34" s="22" t="s">
        <v>962</v>
      </c>
      <c r="I34" s="22" t="s">
        <v>963</v>
      </c>
      <c r="J34" s="23">
        <v>1</v>
      </c>
      <c r="K34" s="24">
        <v>39.619999999999997</v>
      </c>
      <c r="L34" s="25">
        <v>7.3502000000000001</v>
      </c>
      <c r="M34" s="24">
        <v>99.73</v>
      </c>
      <c r="N34" s="24">
        <v>99.82</v>
      </c>
      <c r="O34" s="24">
        <v>99.8</v>
      </c>
      <c r="P34" s="24">
        <v>99.8</v>
      </c>
      <c r="Q34" s="24">
        <v>0.04</v>
      </c>
      <c r="R34" s="24">
        <v>0.16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3">
        <v>0</v>
      </c>
      <c r="Y34" s="23">
        <v>0</v>
      </c>
      <c r="Z34" s="27">
        <v>0.64400000000000002</v>
      </c>
      <c r="AA34" s="27">
        <v>0.35210000000000002</v>
      </c>
      <c r="AB34" s="27">
        <v>0.25069999999999998</v>
      </c>
      <c r="AC34" s="27">
        <v>5.0000000000000001E-4</v>
      </c>
      <c r="AD34" s="24">
        <v>-10.94</v>
      </c>
      <c r="AE34" s="24">
        <v>-94.15</v>
      </c>
      <c r="AF34" s="24">
        <v>99.95</v>
      </c>
      <c r="AG34" s="26">
        <v>100</v>
      </c>
      <c r="AH34" s="26">
        <v>100</v>
      </c>
      <c r="AI34" s="27">
        <v>0.99980000000000002</v>
      </c>
      <c r="AJ34" s="27">
        <v>1E-4</v>
      </c>
      <c r="AK34" s="26">
        <v>313</v>
      </c>
      <c r="AL34" s="26">
        <v>0</v>
      </c>
      <c r="AM34" s="26">
        <v>0</v>
      </c>
      <c r="AN34" s="26">
        <v>0</v>
      </c>
      <c r="AO34" s="26">
        <v>27</v>
      </c>
      <c r="AP34" s="23">
        <v>1</v>
      </c>
      <c r="AQ34" s="27">
        <v>0.14729999999999999</v>
      </c>
      <c r="AR34" s="26">
        <v>789501600</v>
      </c>
      <c r="AS34" s="25">
        <v>69.66</v>
      </c>
      <c r="AT34" s="25">
        <v>316.96429999999998</v>
      </c>
      <c r="AU34" s="25">
        <v>1728.7424000000001</v>
      </c>
      <c r="AV34">
        <f t="shared" si="0"/>
        <v>100</v>
      </c>
    </row>
    <row r="35" spans="1:48" ht="16.5" x14ac:dyDescent="0.3">
      <c r="A35" s="22" t="s">
        <v>976</v>
      </c>
      <c r="B35" s="22" t="s">
        <v>977</v>
      </c>
      <c r="C35" s="22" t="s">
        <v>47</v>
      </c>
      <c r="D35" s="22" t="s">
        <v>958</v>
      </c>
      <c r="E35" s="22" t="s">
        <v>959</v>
      </c>
      <c r="F35" s="22" t="s">
        <v>958</v>
      </c>
      <c r="G35" s="22" t="s">
        <v>959</v>
      </c>
      <c r="H35" s="22" t="s">
        <v>964</v>
      </c>
      <c r="I35" s="22" t="s">
        <v>965</v>
      </c>
      <c r="J35" s="23">
        <v>1</v>
      </c>
      <c r="K35" s="24">
        <v>25.85</v>
      </c>
      <c r="L35" s="25">
        <v>5.7759999999999998</v>
      </c>
      <c r="M35" s="24">
        <v>99.69</v>
      </c>
      <c r="N35" s="24">
        <v>99.68</v>
      </c>
      <c r="O35" s="24">
        <v>99.68</v>
      </c>
      <c r="P35" s="24">
        <v>99.68</v>
      </c>
      <c r="Q35" s="26">
        <v>0</v>
      </c>
      <c r="R35" s="24">
        <v>0.24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3">
        <v>0</v>
      </c>
      <c r="Y35" s="23">
        <v>0</v>
      </c>
      <c r="Z35" s="27">
        <v>0.54110000000000003</v>
      </c>
      <c r="AA35" s="27">
        <v>0.1162</v>
      </c>
      <c r="AB35" s="27">
        <v>0.19059999999999999</v>
      </c>
      <c r="AC35" s="27">
        <v>5.9999999999999995E-4</v>
      </c>
      <c r="AD35" s="24">
        <v>-10.36</v>
      </c>
      <c r="AE35" s="24">
        <v>-97.92</v>
      </c>
      <c r="AF35" s="24">
        <v>99.93</v>
      </c>
      <c r="AG35" s="26">
        <v>100</v>
      </c>
      <c r="AH35" s="24">
        <v>94.12</v>
      </c>
      <c r="AI35" s="27">
        <v>0.99990000000000001</v>
      </c>
      <c r="AJ35" s="27">
        <v>1.1000000000000001E-3</v>
      </c>
      <c r="AK35" s="26">
        <v>359</v>
      </c>
      <c r="AL35" s="26">
        <v>0</v>
      </c>
      <c r="AM35" s="26">
        <v>0</v>
      </c>
      <c r="AN35" s="26">
        <v>0</v>
      </c>
      <c r="AO35" s="26">
        <v>34</v>
      </c>
      <c r="AP35" s="23">
        <v>1</v>
      </c>
      <c r="AQ35" s="27">
        <v>5.0299999999999997E-2</v>
      </c>
      <c r="AR35" s="26">
        <v>789501600</v>
      </c>
      <c r="AS35" s="25">
        <v>50.146799999999999</v>
      </c>
      <c r="AT35" s="25">
        <v>238.23990000000001</v>
      </c>
      <c r="AU35" s="25">
        <v>1373.1069</v>
      </c>
      <c r="AV35">
        <f t="shared" si="0"/>
        <v>100</v>
      </c>
    </row>
    <row r="36" spans="1:48" ht="16.5" x14ac:dyDescent="0.3">
      <c r="A36" s="22" t="s">
        <v>976</v>
      </c>
      <c r="B36" s="22" t="s">
        <v>977</v>
      </c>
      <c r="C36" s="22" t="s">
        <v>47</v>
      </c>
      <c r="D36" s="22" t="s">
        <v>958</v>
      </c>
      <c r="E36" s="22" t="s">
        <v>959</v>
      </c>
      <c r="F36" s="22" t="s">
        <v>958</v>
      </c>
      <c r="G36" s="22" t="s">
        <v>959</v>
      </c>
      <c r="H36" s="22" t="s">
        <v>966</v>
      </c>
      <c r="I36" s="22" t="s">
        <v>967</v>
      </c>
      <c r="J36" s="23">
        <v>1</v>
      </c>
      <c r="K36" s="24">
        <v>49.07</v>
      </c>
      <c r="L36" s="25">
        <v>3.996</v>
      </c>
      <c r="M36" s="24">
        <v>99.88</v>
      </c>
      <c r="N36" s="24">
        <v>99.79</v>
      </c>
      <c r="O36" s="24">
        <v>99.78</v>
      </c>
      <c r="P36" s="24">
        <v>99.78</v>
      </c>
      <c r="Q36" s="26">
        <v>0</v>
      </c>
      <c r="R36" s="24">
        <v>0.16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3">
        <v>0</v>
      </c>
      <c r="Y36" s="27">
        <v>1.1999999999999999E-3</v>
      </c>
      <c r="Z36" s="27">
        <v>0.43509999999999999</v>
      </c>
      <c r="AA36" s="27">
        <v>0.1201</v>
      </c>
      <c r="AB36" s="27">
        <v>0.26369999999999999</v>
      </c>
      <c r="AC36" s="27">
        <v>1E-3</v>
      </c>
      <c r="AD36" s="24">
        <v>-8.9499999999999993</v>
      </c>
      <c r="AE36" s="24">
        <v>-93.11</v>
      </c>
      <c r="AF36" s="24">
        <v>99.93</v>
      </c>
      <c r="AG36" s="26">
        <v>100</v>
      </c>
      <c r="AH36" s="26">
        <v>100</v>
      </c>
      <c r="AI36" s="27">
        <v>0.99990000000000001</v>
      </c>
      <c r="AJ36" s="27">
        <v>5.9999999999999995E-4</v>
      </c>
      <c r="AK36" s="26">
        <v>269</v>
      </c>
      <c r="AL36" s="26">
        <v>0</v>
      </c>
      <c r="AM36" s="26">
        <v>0</v>
      </c>
      <c r="AN36" s="26">
        <v>0</v>
      </c>
      <c r="AO36" s="26">
        <v>46</v>
      </c>
      <c r="AP36" s="23">
        <v>1</v>
      </c>
      <c r="AQ36" s="27">
        <v>4.65E-2</v>
      </c>
      <c r="AR36" s="26">
        <v>789501600</v>
      </c>
      <c r="AS36" s="25">
        <v>57.003399999999999</v>
      </c>
      <c r="AT36" s="25">
        <v>216.3167</v>
      </c>
      <c r="AU36" s="25">
        <v>890.54780000000005</v>
      </c>
      <c r="AV36">
        <f t="shared" si="0"/>
        <v>100</v>
      </c>
    </row>
    <row r="37" spans="1:48" ht="16.5" x14ac:dyDescent="0.3">
      <c r="A37" s="22" t="s">
        <v>976</v>
      </c>
      <c r="B37" s="22" t="s">
        <v>977</v>
      </c>
      <c r="C37" s="22" t="s">
        <v>47</v>
      </c>
      <c r="D37" s="22" t="s">
        <v>958</v>
      </c>
      <c r="E37" s="22" t="s">
        <v>959</v>
      </c>
      <c r="F37" s="22" t="s">
        <v>958</v>
      </c>
      <c r="G37" s="22" t="s">
        <v>959</v>
      </c>
      <c r="H37" s="22" t="s">
        <v>968</v>
      </c>
      <c r="I37" s="22" t="s">
        <v>969</v>
      </c>
      <c r="J37" s="23">
        <v>1</v>
      </c>
      <c r="K37" s="24">
        <v>25.58</v>
      </c>
      <c r="L37" s="25">
        <v>3.0705</v>
      </c>
      <c r="M37" s="24">
        <v>99.83</v>
      </c>
      <c r="N37" s="24">
        <v>99.79</v>
      </c>
      <c r="O37" s="24">
        <v>99.8</v>
      </c>
      <c r="P37" s="24">
        <v>99.8</v>
      </c>
      <c r="Q37" s="26">
        <v>0</v>
      </c>
      <c r="R37" s="24">
        <v>0.1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3">
        <v>0</v>
      </c>
      <c r="Y37" s="23">
        <v>0</v>
      </c>
      <c r="Z37" s="27">
        <v>0.31690000000000002</v>
      </c>
      <c r="AA37" s="27">
        <v>9.6199999999999994E-2</v>
      </c>
      <c r="AB37" s="27">
        <v>0.24579999999999999</v>
      </c>
      <c r="AC37" s="27">
        <v>5.0000000000000001E-4</v>
      </c>
      <c r="AD37" s="24">
        <v>-8.42</v>
      </c>
      <c r="AE37" s="24">
        <v>-98.6</v>
      </c>
      <c r="AF37" s="24">
        <v>99.98</v>
      </c>
      <c r="AG37" s="26">
        <v>100</v>
      </c>
      <c r="AH37" s="26">
        <v>100</v>
      </c>
      <c r="AI37" s="23">
        <v>1</v>
      </c>
      <c r="AJ37" s="27">
        <v>1E-4</v>
      </c>
      <c r="AK37" s="26">
        <v>120</v>
      </c>
      <c r="AL37" s="26">
        <v>0</v>
      </c>
      <c r="AM37" s="26">
        <v>0</v>
      </c>
      <c r="AN37" s="26">
        <v>0</v>
      </c>
      <c r="AO37" s="26">
        <v>11</v>
      </c>
      <c r="AP37" s="23">
        <v>1</v>
      </c>
      <c r="AQ37" s="27">
        <v>3.6799999999999999E-2</v>
      </c>
      <c r="AR37" s="26">
        <v>789501600</v>
      </c>
      <c r="AS37" s="25">
        <v>39.5383</v>
      </c>
      <c r="AT37" s="25">
        <v>212.6773</v>
      </c>
      <c r="AU37" s="25">
        <v>651.28610000000003</v>
      </c>
      <c r="AV37">
        <f t="shared" si="0"/>
        <v>100</v>
      </c>
    </row>
    <row r="38" spans="1:48" ht="16.5" x14ac:dyDescent="0.3">
      <c r="A38" s="22" t="s">
        <v>977</v>
      </c>
      <c r="B38" s="22" t="s">
        <v>978</v>
      </c>
      <c r="C38" s="22" t="s">
        <v>47</v>
      </c>
      <c r="D38" s="22" t="s">
        <v>958</v>
      </c>
      <c r="E38" s="22" t="s">
        <v>959</v>
      </c>
      <c r="F38" s="22" t="s">
        <v>958</v>
      </c>
      <c r="G38" s="22" t="s">
        <v>959</v>
      </c>
      <c r="H38" s="22" t="s">
        <v>962</v>
      </c>
      <c r="I38" s="22" t="s">
        <v>963</v>
      </c>
      <c r="J38" s="23">
        <v>1</v>
      </c>
      <c r="K38" s="24">
        <v>51.42</v>
      </c>
      <c r="L38" s="25">
        <v>6.9867999999999997</v>
      </c>
      <c r="M38" s="24">
        <v>99.62</v>
      </c>
      <c r="N38" s="24">
        <v>99.66</v>
      </c>
      <c r="O38" s="24">
        <v>99.66</v>
      </c>
      <c r="P38" s="24">
        <v>99.66</v>
      </c>
      <c r="Q38" s="24">
        <v>7.0000000000000007E-2</v>
      </c>
      <c r="R38" s="24">
        <v>0.25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3">
        <v>0</v>
      </c>
      <c r="Y38" s="23">
        <v>0</v>
      </c>
      <c r="Z38" s="27">
        <v>0.69059999999999999</v>
      </c>
      <c r="AA38" s="27">
        <v>0.40200000000000002</v>
      </c>
      <c r="AB38" s="27">
        <v>0.24660000000000001</v>
      </c>
      <c r="AC38" s="27">
        <v>5.0000000000000001E-4</v>
      </c>
      <c r="AD38" s="24">
        <v>-11.32</v>
      </c>
      <c r="AE38" s="24">
        <v>-93.78</v>
      </c>
      <c r="AF38" s="24">
        <v>99.96</v>
      </c>
      <c r="AG38" s="26">
        <v>60</v>
      </c>
      <c r="AI38" s="23">
        <v>1</v>
      </c>
      <c r="AJ38" s="27">
        <v>2.0000000000000001E-4</v>
      </c>
      <c r="AK38" s="26">
        <v>405</v>
      </c>
      <c r="AL38" s="26">
        <v>0</v>
      </c>
      <c r="AM38" s="26">
        <v>0</v>
      </c>
      <c r="AN38" s="26">
        <v>0</v>
      </c>
      <c r="AO38" s="26">
        <v>39</v>
      </c>
      <c r="AP38" s="23">
        <v>1</v>
      </c>
      <c r="AQ38" s="27">
        <v>0.1721</v>
      </c>
      <c r="AR38" s="26">
        <v>789501600</v>
      </c>
      <c r="AS38" s="25">
        <v>85.101699999999994</v>
      </c>
      <c r="AT38" s="25">
        <v>340.54149999999998</v>
      </c>
      <c r="AU38" s="25">
        <v>1598.2784999999999</v>
      </c>
      <c r="AV38">
        <f t="shared" si="0"/>
        <v>100</v>
      </c>
    </row>
    <row r="39" spans="1:48" ht="16.5" x14ac:dyDescent="0.3">
      <c r="A39" s="22" t="s">
        <v>977</v>
      </c>
      <c r="B39" s="22" t="s">
        <v>978</v>
      </c>
      <c r="C39" s="22" t="s">
        <v>47</v>
      </c>
      <c r="D39" s="22" t="s">
        <v>958</v>
      </c>
      <c r="E39" s="22" t="s">
        <v>959</v>
      </c>
      <c r="F39" s="22" t="s">
        <v>958</v>
      </c>
      <c r="G39" s="22" t="s">
        <v>959</v>
      </c>
      <c r="H39" s="22" t="s">
        <v>964</v>
      </c>
      <c r="I39" s="22" t="s">
        <v>965</v>
      </c>
      <c r="J39" s="23">
        <v>1</v>
      </c>
      <c r="K39" s="24">
        <v>30.43</v>
      </c>
      <c r="L39" s="25">
        <v>5.6393000000000004</v>
      </c>
      <c r="M39" s="24">
        <v>99.83</v>
      </c>
      <c r="N39" s="24">
        <v>99.76</v>
      </c>
      <c r="O39" s="24">
        <v>99.74</v>
      </c>
      <c r="P39" s="24">
        <v>99.74</v>
      </c>
      <c r="Q39" s="24">
        <v>0.06</v>
      </c>
      <c r="R39" s="24">
        <v>0.39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3">
        <v>0</v>
      </c>
      <c r="Y39" s="27">
        <v>2.0000000000000001E-4</v>
      </c>
      <c r="Z39" s="27">
        <v>0.57730000000000004</v>
      </c>
      <c r="AA39" s="27">
        <v>0.13780000000000001</v>
      </c>
      <c r="AB39" s="27">
        <v>0.19400000000000001</v>
      </c>
      <c r="AC39" s="27">
        <v>6.9999999999999999E-4</v>
      </c>
      <c r="AD39" s="24">
        <v>-10.75</v>
      </c>
      <c r="AE39" s="24">
        <v>-97.09</v>
      </c>
      <c r="AF39" s="24">
        <v>99.92</v>
      </c>
      <c r="AG39" s="24">
        <v>87.5</v>
      </c>
      <c r="AH39" s="24">
        <v>96.15</v>
      </c>
      <c r="AI39" s="27">
        <v>0.99990000000000001</v>
      </c>
      <c r="AJ39" s="27">
        <v>4.0000000000000001E-3</v>
      </c>
      <c r="AK39" s="26">
        <v>373</v>
      </c>
      <c r="AL39" s="26">
        <v>0</v>
      </c>
      <c r="AM39" s="26">
        <v>0</v>
      </c>
      <c r="AN39" s="26">
        <v>0</v>
      </c>
      <c r="AO39" s="26">
        <v>28</v>
      </c>
      <c r="AP39" s="23">
        <v>1</v>
      </c>
      <c r="AQ39" s="27">
        <v>6.1699999999999998E-2</v>
      </c>
      <c r="AR39" s="26">
        <v>789501600</v>
      </c>
      <c r="AS39" s="25">
        <v>63.538400000000003</v>
      </c>
      <c r="AT39" s="25">
        <v>289.34640000000002</v>
      </c>
      <c r="AU39" s="25">
        <v>1291.0533</v>
      </c>
      <c r="AV39">
        <f t="shared" si="0"/>
        <v>100</v>
      </c>
    </row>
    <row r="40" spans="1:48" ht="16.5" x14ac:dyDescent="0.3">
      <c r="A40" s="22" t="s">
        <v>977</v>
      </c>
      <c r="B40" s="22" t="s">
        <v>978</v>
      </c>
      <c r="C40" s="22" t="s">
        <v>47</v>
      </c>
      <c r="D40" s="22" t="s">
        <v>958</v>
      </c>
      <c r="E40" s="22" t="s">
        <v>959</v>
      </c>
      <c r="F40" s="22" t="s">
        <v>958</v>
      </c>
      <c r="G40" s="22" t="s">
        <v>959</v>
      </c>
      <c r="H40" s="22" t="s">
        <v>966</v>
      </c>
      <c r="I40" s="22" t="s">
        <v>967</v>
      </c>
      <c r="J40" s="27">
        <v>0.86360000000000003</v>
      </c>
      <c r="K40" s="24">
        <v>44.92</v>
      </c>
      <c r="L40" s="25">
        <v>3.9439000000000002</v>
      </c>
      <c r="M40" s="24">
        <v>99.76</v>
      </c>
      <c r="N40" s="24">
        <v>99.81</v>
      </c>
      <c r="O40" s="24">
        <v>99.81</v>
      </c>
      <c r="P40" s="24">
        <v>99.81</v>
      </c>
      <c r="Q40" s="24">
        <v>0.28000000000000003</v>
      </c>
      <c r="R40" s="24">
        <v>0.28000000000000003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3">
        <v>0</v>
      </c>
      <c r="Y40" s="27">
        <v>1.1000000000000001E-3</v>
      </c>
      <c r="Z40" s="27">
        <v>0.44429999999999997</v>
      </c>
      <c r="AA40" s="27">
        <v>0.1066</v>
      </c>
      <c r="AB40" s="27">
        <v>0.2293</v>
      </c>
      <c r="AC40" s="27">
        <v>1.1000000000000001E-3</v>
      </c>
      <c r="AD40" s="24">
        <v>-9.02</v>
      </c>
      <c r="AE40" s="24">
        <v>-93.99</v>
      </c>
      <c r="AF40" s="24">
        <v>99.93</v>
      </c>
      <c r="AG40" s="26">
        <v>75</v>
      </c>
      <c r="AH40" s="26">
        <v>100</v>
      </c>
      <c r="AI40" s="27">
        <v>0.99990000000000001</v>
      </c>
      <c r="AJ40" s="27">
        <v>1.1000000000000001E-3</v>
      </c>
      <c r="AK40" s="26">
        <v>282</v>
      </c>
      <c r="AL40" s="26">
        <v>0</v>
      </c>
      <c r="AM40" s="26">
        <v>0</v>
      </c>
      <c r="AN40" s="26">
        <v>0</v>
      </c>
      <c r="AO40" s="26">
        <v>21</v>
      </c>
      <c r="AP40" s="23">
        <v>1</v>
      </c>
      <c r="AQ40" s="27">
        <v>4.2200000000000001E-2</v>
      </c>
      <c r="AR40" s="26">
        <v>789504546</v>
      </c>
      <c r="AS40" s="25">
        <v>49.513300000000001</v>
      </c>
      <c r="AT40" s="25">
        <v>197.41309999999999</v>
      </c>
      <c r="AU40" s="25">
        <v>897.97</v>
      </c>
      <c r="AV40">
        <f t="shared" si="0"/>
        <v>86.36</v>
      </c>
    </row>
    <row r="41" spans="1:48" ht="16.5" x14ac:dyDescent="0.3">
      <c r="A41" s="22" t="s">
        <v>977</v>
      </c>
      <c r="B41" s="22" t="s">
        <v>978</v>
      </c>
      <c r="C41" s="22" t="s">
        <v>47</v>
      </c>
      <c r="D41" s="22" t="s">
        <v>958</v>
      </c>
      <c r="E41" s="22" t="s">
        <v>959</v>
      </c>
      <c r="F41" s="22" t="s">
        <v>958</v>
      </c>
      <c r="G41" s="22" t="s">
        <v>959</v>
      </c>
      <c r="H41" s="22" t="s">
        <v>968</v>
      </c>
      <c r="I41" s="22" t="s">
        <v>969</v>
      </c>
      <c r="J41" s="23">
        <v>1</v>
      </c>
      <c r="K41" s="24">
        <v>30.54</v>
      </c>
      <c r="L41" s="25">
        <v>3.7383000000000002</v>
      </c>
      <c r="M41" s="24">
        <v>99.58</v>
      </c>
      <c r="N41" s="24">
        <v>99.9</v>
      </c>
      <c r="O41" s="24">
        <v>99.89</v>
      </c>
      <c r="P41" s="24">
        <v>99.89</v>
      </c>
      <c r="Q41" s="26">
        <v>0</v>
      </c>
      <c r="R41" s="24">
        <v>0.18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3">
        <v>0</v>
      </c>
      <c r="Y41" s="23">
        <v>0</v>
      </c>
      <c r="Z41" s="27">
        <v>0.41299999999999998</v>
      </c>
      <c r="AA41" s="27">
        <v>0.1108</v>
      </c>
      <c r="AB41" s="27">
        <v>0.2447</v>
      </c>
      <c r="AC41" s="27">
        <v>5.9999999999999995E-4</v>
      </c>
      <c r="AD41" s="24">
        <v>-9.34</v>
      </c>
      <c r="AE41" s="24">
        <v>-98.58</v>
      </c>
      <c r="AF41" s="24">
        <v>99.97</v>
      </c>
      <c r="AG41" s="24">
        <v>92.86</v>
      </c>
      <c r="AH41" s="26">
        <v>100</v>
      </c>
      <c r="AI41" s="23">
        <v>1</v>
      </c>
      <c r="AJ41" s="27">
        <v>6.9999999999999999E-4</v>
      </c>
      <c r="AK41" s="26">
        <v>244</v>
      </c>
      <c r="AL41" s="26">
        <v>0</v>
      </c>
      <c r="AM41" s="26">
        <v>0</v>
      </c>
      <c r="AN41" s="26">
        <v>0</v>
      </c>
      <c r="AO41" s="26">
        <v>39</v>
      </c>
      <c r="AP41" s="23">
        <v>1</v>
      </c>
      <c r="AQ41" s="27">
        <v>4.48E-2</v>
      </c>
      <c r="AR41" s="26">
        <v>789501600</v>
      </c>
      <c r="AS41" s="25">
        <v>47.438400000000001</v>
      </c>
      <c r="AT41" s="25">
        <v>202.0702</v>
      </c>
      <c r="AU41" s="25">
        <v>838.89449999999999</v>
      </c>
      <c r="AV41">
        <f t="shared" si="0"/>
        <v>100</v>
      </c>
    </row>
    <row r="42" spans="1:48" ht="16.5" x14ac:dyDescent="0.3">
      <c r="A42" s="22" t="s">
        <v>978</v>
      </c>
      <c r="B42" s="22" t="s">
        <v>979</v>
      </c>
      <c r="C42" s="22" t="s">
        <v>47</v>
      </c>
      <c r="D42" s="22" t="s">
        <v>958</v>
      </c>
      <c r="E42" s="22" t="s">
        <v>959</v>
      </c>
      <c r="F42" s="22" t="s">
        <v>958</v>
      </c>
      <c r="G42" s="22" t="s">
        <v>959</v>
      </c>
      <c r="H42" s="22" t="s">
        <v>962</v>
      </c>
      <c r="I42" s="22" t="s">
        <v>963</v>
      </c>
      <c r="J42" s="23">
        <v>1</v>
      </c>
      <c r="K42" s="24">
        <v>49.71</v>
      </c>
      <c r="L42" s="25">
        <v>6.6833999999999998</v>
      </c>
      <c r="M42" s="24">
        <v>99.89</v>
      </c>
      <c r="N42" s="24">
        <v>99.8</v>
      </c>
      <c r="O42" s="24">
        <v>99.76</v>
      </c>
      <c r="P42" s="24">
        <v>99.76</v>
      </c>
      <c r="Q42" s="24">
        <v>0.12</v>
      </c>
      <c r="R42" s="24">
        <v>0.25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3">
        <v>0</v>
      </c>
      <c r="Y42" s="23">
        <v>0</v>
      </c>
      <c r="Z42" s="27">
        <v>0.65600000000000003</v>
      </c>
      <c r="AA42" s="27">
        <v>0.39350000000000002</v>
      </c>
      <c r="AB42" s="27">
        <v>0.2412</v>
      </c>
      <c r="AC42" s="27">
        <v>5.9999999999999995E-4</v>
      </c>
      <c r="AD42" s="24">
        <v>-11.25</v>
      </c>
      <c r="AE42" s="24">
        <v>-93.47</v>
      </c>
      <c r="AF42" s="24">
        <v>99.97</v>
      </c>
      <c r="AG42" s="24">
        <v>66.67</v>
      </c>
      <c r="AI42" s="27">
        <v>0.99980000000000002</v>
      </c>
      <c r="AJ42" s="27">
        <v>1E-4</v>
      </c>
      <c r="AK42" s="26">
        <v>346</v>
      </c>
      <c r="AL42" s="26">
        <v>0</v>
      </c>
      <c r="AM42" s="26">
        <v>0</v>
      </c>
      <c r="AN42" s="26">
        <v>0</v>
      </c>
      <c r="AO42" s="26">
        <v>34</v>
      </c>
      <c r="AP42" s="23">
        <v>1</v>
      </c>
      <c r="AQ42" s="27">
        <v>0.1676</v>
      </c>
      <c r="AR42" s="26">
        <v>789501600</v>
      </c>
      <c r="AS42" s="25">
        <v>84.458399999999997</v>
      </c>
      <c r="AT42" s="25">
        <v>361.32600000000002</v>
      </c>
      <c r="AU42" s="25">
        <v>1505.3905</v>
      </c>
      <c r="AV42">
        <f t="shared" si="0"/>
        <v>100</v>
      </c>
    </row>
    <row r="43" spans="1:48" ht="16.5" x14ac:dyDescent="0.3">
      <c r="A43" s="22" t="s">
        <v>978</v>
      </c>
      <c r="B43" s="22" t="s">
        <v>979</v>
      </c>
      <c r="C43" s="22" t="s">
        <v>47</v>
      </c>
      <c r="D43" s="22" t="s">
        <v>958</v>
      </c>
      <c r="E43" s="22" t="s">
        <v>959</v>
      </c>
      <c r="F43" s="22" t="s">
        <v>958</v>
      </c>
      <c r="G43" s="22" t="s">
        <v>959</v>
      </c>
      <c r="H43" s="22" t="s">
        <v>964</v>
      </c>
      <c r="I43" s="22" t="s">
        <v>965</v>
      </c>
      <c r="J43" s="23">
        <v>1</v>
      </c>
      <c r="K43" s="24">
        <v>26.41</v>
      </c>
      <c r="L43" s="25">
        <v>5.6791999999999998</v>
      </c>
      <c r="M43" s="24">
        <v>99.81</v>
      </c>
      <c r="N43" s="24">
        <v>99.7</v>
      </c>
      <c r="O43" s="24">
        <v>99.7</v>
      </c>
      <c r="P43" s="24">
        <v>99.7</v>
      </c>
      <c r="Q43" s="24">
        <v>7.0000000000000007E-2</v>
      </c>
      <c r="R43" s="24">
        <v>0.46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3">
        <v>0</v>
      </c>
      <c r="Y43" s="23">
        <v>0</v>
      </c>
      <c r="Z43" s="27">
        <v>0.59989999999999999</v>
      </c>
      <c r="AA43" s="27">
        <v>0.13619999999999999</v>
      </c>
      <c r="AB43" s="27">
        <v>0.1923</v>
      </c>
      <c r="AC43" s="27">
        <v>6.9999999999999999E-4</v>
      </c>
      <c r="AD43" s="24">
        <v>-10.73</v>
      </c>
      <c r="AE43" s="24">
        <v>-96.74</v>
      </c>
      <c r="AF43" s="24">
        <v>99.89</v>
      </c>
      <c r="AG43" s="26">
        <v>100</v>
      </c>
      <c r="AH43" s="24">
        <v>95.65</v>
      </c>
      <c r="AI43" s="27">
        <v>0.99990000000000001</v>
      </c>
      <c r="AJ43" s="27">
        <v>1.1999999999999999E-3</v>
      </c>
      <c r="AK43" s="26">
        <v>374</v>
      </c>
      <c r="AL43" s="26">
        <v>0</v>
      </c>
      <c r="AM43" s="26">
        <v>0</v>
      </c>
      <c r="AN43" s="26">
        <v>0</v>
      </c>
      <c r="AO43" s="26">
        <v>30</v>
      </c>
      <c r="AP43" s="23">
        <v>1</v>
      </c>
      <c r="AQ43" s="27">
        <v>6.6100000000000006E-2</v>
      </c>
      <c r="AR43" s="26">
        <v>789501600</v>
      </c>
      <c r="AS43" s="25">
        <v>71.575100000000006</v>
      </c>
      <c r="AT43" s="25">
        <v>362.4932</v>
      </c>
      <c r="AU43" s="25">
        <v>1246.4902999999999</v>
      </c>
      <c r="AV43">
        <f t="shared" si="0"/>
        <v>100</v>
      </c>
    </row>
    <row r="44" spans="1:48" ht="16.5" x14ac:dyDescent="0.3">
      <c r="A44" s="22" t="s">
        <v>978</v>
      </c>
      <c r="B44" s="22" t="s">
        <v>979</v>
      </c>
      <c r="C44" s="22" t="s">
        <v>47</v>
      </c>
      <c r="D44" s="22" t="s">
        <v>958</v>
      </c>
      <c r="E44" s="22" t="s">
        <v>959</v>
      </c>
      <c r="F44" s="22" t="s">
        <v>958</v>
      </c>
      <c r="G44" s="22" t="s">
        <v>959</v>
      </c>
      <c r="H44" s="22" t="s">
        <v>966</v>
      </c>
      <c r="I44" s="22" t="s">
        <v>967</v>
      </c>
      <c r="J44" s="23">
        <v>1</v>
      </c>
      <c r="K44" s="24">
        <v>50.45</v>
      </c>
      <c r="L44" s="25">
        <v>5.0194999999999999</v>
      </c>
      <c r="M44" s="24">
        <v>99.75</v>
      </c>
      <c r="N44" s="24">
        <v>99.83</v>
      </c>
      <c r="O44" s="24">
        <v>99.84</v>
      </c>
      <c r="P44" s="24">
        <v>99.84</v>
      </c>
      <c r="Q44" s="24">
        <v>0.04</v>
      </c>
      <c r="R44" s="24">
        <v>0.33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3">
        <v>0</v>
      </c>
      <c r="Y44" s="27">
        <v>5.0000000000000001E-4</v>
      </c>
      <c r="Z44" s="27">
        <v>0.45550000000000002</v>
      </c>
      <c r="AA44" s="27">
        <v>0.1285</v>
      </c>
      <c r="AB44" s="27">
        <v>0.25069999999999998</v>
      </c>
      <c r="AC44" s="27">
        <v>8.9999999999999998E-4</v>
      </c>
      <c r="AD44" s="24">
        <v>-9.08</v>
      </c>
      <c r="AE44" s="24">
        <v>-94.2</v>
      </c>
      <c r="AF44" s="24">
        <v>99.93</v>
      </c>
      <c r="AG44" s="26">
        <v>100</v>
      </c>
      <c r="AH44" s="26">
        <v>100</v>
      </c>
      <c r="AI44" s="27">
        <v>0.99970000000000003</v>
      </c>
      <c r="AJ44" s="27">
        <v>1.6000000000000001E-3</v>
      </c>
      <c r="AK44" s="26">
        <v>283</v>
      </c>
      <c r="AL44" s="26">
        <v>0</v>
      </c>
      <c r="AM44" s="26">
        <v>0</v>
      </c>
      <c r="AN44" s="26">
        <v>0</v>
      </c>
      <c r="AO44" s="26">
        <v>26</v>
      </c>
      <c r="AP44" s="23">
        <v>1</v>
      </c>
      <c r="AQ44" s="27">
        <v>5.2400000000000002E-2</v>
      </c>
      <c r="AR44" s="26">
        <v>789501600</v>
      </c>
      <c r="AS44" s="25">
        <v>60.296799999999998</v>
      </c>
      <c r="AT44" s="25">
        <v>244.90770000000001</v>
      </c>
      <c r="AU44" s="25">
        <v>1154.5666000000001</v>
      </c>
      <c r="AV44">
        <f t="shared" si="0"/>
        <v>100</v>
      </c>
    </row>
    <row r="45" spans="1:48" ht="16.5" x14ac:dyDescent="0.3">
      <c r="A45" s="22" t="s">
        <v>978</v>
      </c>
      <c r="B45" s="22" t="s">
        <v>979</v>
      </c>
      <c r="C45" s="22" t="s">
        <v>47</v>
      </c>
      <c r="D45" s="22" t="s">
        <v>958</v>
      </c>
      <c r="E45" s="22" t="s">
        <v>959</v>
      </c>
      <c r="F45" s="22" t="s">
        <v>958</v>
      </c>
      <c r="G45" s="22" t="s">
        <v>959</v>
      </c>
      <c r="H45" s="22" t="s">
        <v>968</v>
      </c>
      <c r="I45" s="22" t="s">
        <v>969</v>
      </c>
      <c r="J45" s="23">
        <v>1</v>
      </c>
      <c r="K45" s="24">
        <v>27.92</v>
      </c>
      <c r="L45" s="25">
        <v>4.3666</v>
      </c>
      <c r="M45" s="24">
        <v>99.88</v>
      </c>
      <c r="N45" s="24">
        <v>99.86</v>
      </c>
      <c r="O45" s="24">
        <v>99.84</v>
      </c>
      <c r="P45" s="24">
        <v>99.84</v>
      </c>
      <c r="Q45" s="24">
        <v>0.06</v>
      </c>
      <c r="R45" s="24">
        <v>0.37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3">
        <v>0</v>
      </c>
      <c r="Y45" s="23">
        <v>0</v>
      </c>
      <c r="Z45" s="27">
        <v>0.43619999999999998</v>
      </c>
      <c r="AA45" s="27">
        <v>0.1076</v>
      </c>
      <c r="AB45" s="27">
        <v>0.23810000000000001</v>
      </c>
      <c r="AC45" s="27">
        <v>5.9999999999999995E-4</v>
      </c>
      <c r="AD45" s="24">
        <v>-9.2100000000000009</v>
      </c>
      <c r="AE45" s="24">
        <v>-98.56</v>
      </c>
      <c r="AF45" s="24">
        <v>99.94</v>
      </c>
      <c r="AG45" s="26">
        <v>100</v>
      </c>
      <c r="AH45" s="26">
        <v>100</v>
      </c>
      <c r="AI45" s="27">
        <v>0.99990000000000001</v>
      </c>
      <c r="AJ45" s="27">
        <v>1E-4</v>
      </c>
      <c r="AK45" s="26">
        <v>128</v>
      </c>
      <c r="AL45" s="26">
        <v>0</v>
      </c>
      <c r="AM45" s="26">
        <v>0</v>
      </c>
      <c r="AN45" s="26">
        <v>0</v>
      </c>
      <c r="AO45" s="26">
        <v>22</v>
      </c>
      <c r="AP45" s="23">
        <v>1</v>
      </c>
      <c r="AQ45" s="27">
        <v>4.2299999999999997E-2</v>
      </c>
      <c r="AR45" s="26">
        <v>789501600</v>
      </c>
      <c r="AS45" s="25">
        <v>45.313400000000001</v>
      </c>
      <c r="AT45" s="25">
        <v>209.11619999999999</v>
      </c>
      <c r="AU45" s="25">
        <v>1007.2737</v>
      </c>
      <c r="AV45">
        <f t="shared" si="0"/>
        <v>100</v>
      </c>
    </row>
    <row r="46" spans="1:48" ht="16.5" x14ac:dyDescent="0.3">
      <c r="A46" s="22" t="s">
        <v>979</v>
      </c>
      <c r="B46" s="22" t="s">
        <v>980</v>
      </c>
      <c r="C46" s="22" t="s">
        <v>47</v>
      </c>
      <c r="D46" s="22" t="s">
        <v>958</v>
      </c>
      <c r="E46" s="22" t="s">
        <v>959</v>
      </c>
      <c r="F46" s="22" t="s">
        <v>958</v>
      </c>
      <c r="G46" s="22" t="s">
        <v>959</v>
      </c>
      <c r="H46" s="22" t="s">
        <v>962</v>
      </c>
      <c r="I46" s="22" t="s">
        <v>963</v>
      </c>
      <c r="J46" s="23">
        <v>1</v>
      </c>
      <c r="K46" s="24">
        <v>44.3</v>
      </c>
      <c r="L46" s="25">
        <v>7.8273999999999999</v>
      </c>
      <c r="M46" s="24">
        <v>99.89</v>
      </c>
      <c r="N46" s="24">
        <v>99.62</v>
      </c>
      <c r="O46" s="24">
        <v>99.6</v>
      </c>
      <c r="P46" s="24">
        <v>99.6</v>
      </c>
      <c r="Q46" s="24">
        <v>0.17</v>
      </c>
      <c r="R46" s="24">
        <v>0.15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3">
        <v>0</v>
      </c>
      <c r="Y46" s="27">
        <v>1E-4</v>
      </c>
      <c r="Z46" s="27">
        <v>0.66749999999999998</v>
      </c>
      <c r="AA46" s="27">
        <v>0.39839999999999998</v>
      </c>
      <c r="AB46" s="27">
        <v>0.22450000000000001</v>
      </c>
      <c r="AC46" s="27">
        <v>4.0000000000000002E-4</v>
      </c>
      <c r="AD46" s="24">
        <v>-11.25</v>
      </c>
      <c r="AE46" s="24">
        <v>-94.29</v>
      </c>
      <c r="AF46" s="24">
        <v>99.94</v>
      </c>
      <c r="AG46" s="26">
        <v>40</v>
      </c>
      <c r="AH46" s="26">
        <v>100</v>
      </c>
      <c r="AI46" s="27">
        <v>0.99970000000000003</v>
      </c>
      <c r="AJ46" s="27">
        <v>4.0000000000000002E-4</v>
      </c>
      <c r="AK46" s="26">
        <v>313</v>
      </c>
      <c r="AL46" s="26">
        <v>0</v>
      </c>
      <c r="AM46" s="26">
        <v>0</v>
      </c>
      <c r="AN46" s="26">
        <v>0</v>
      </c>
      <c r="AO46" s="26">
        <v>29</v>
      </c>
      <c r="AP46" s="23">
        <v>1</v>
      </c>
      <c r="AQ46" s="27">
        <v>0.1772</v>
      </c>
      <c r="AR46" s="26">
        <v>789501600</v>
      </c>
      <c r="AS46" s="25">
        <v>77.2517</v>
      </c>
      <c r="AT46" s="25">
        <v>320.68209999999999</v>
      </c>
      <c r="AU46" s="25">
        <v>1861.681</v>
      </c>
      <c r="AV46">
        <f t="shared" si="0"/>
        <v>100</v>
      </c>
    </row>
    <row r="47" spans="1:48" ht="16.5" x14ac:dyDescent="0.3">
      <c r="A47" s="22" t="s">
        <v>979</v>
      </c>
      <c r="B47" s="22" t="s">
        <v>980</v>
      </c>
      <c r="C47" s="22" t="s">
        <v>47</v>
      </c>
      <c r="D47" s="22" t="s">
        <v>958</v>
      </c>
      <c r="E47" s="22" t="s">
        <v>959</v>
      </c>
      <c r="F47" s="22" t="s">
        <v>958</v>
      </c>
      <c r="G47" s="22" t="s">
        <v>959</v>
      </c>
      <c r="H47" s="22" t="s">
        <v>964</v>
      </c>
      <c r="I47" s="22" t="s">
        <v>965</v>
      </c>
      <c r="J47" s="23">
        <v>1</v>
      </c>
      <c r="K47" s="24">
        <v>28.02</v>
      </c>
      <c r="L47" s="25">
        <v>5.7290000000000001</v>
      </c>
      <c r="M47" s="24">
        <v>99.66</v>
      </c>
      <c r="N47" s="24">
        <v>99.7</v>
      </c>
      <c r="O47" s="24">
        <v>99.67</v>
      </c>
      <c r="P47" s="24">
        <v>99.67</v>
      </c>
      <c r="Q47" s="24">
        <v>0.17</v>
      </c>
      <c r="R47" s="24">
        <v>0.39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3">
        <v>0</v>
      </c>
      <c r="Y47" s="27">
        <v>1E-4</v>
      </c>
      <c r="Z47" s="27">
        <v>0.56320000000000003</v>
      </c>
      <c r="AA47" s="27">
        <v>0.14380000000000001</v>
      </c>
      <c r="AB47" s="27">
        <v>0.18340000000000001</v>
      </c>
      <c r="AC47" s="27">
        <v>5.0000000000000001E-4</v>
      </c>
      <c r="AD47" s="24">
        <v>-10.74</v>
      </c>
      <c r="AE47" s="24">
        <v>-97.18</v>
      </c>
      <c r="AF47" s="24">
        <v>99.96</v>
      </c>
      <c r="AG47" s="24">
        <v>93.33</v>
      </c>
      <c r="AH47" s="26">
        <v>92</v>
      </c>
      <c r="AI47" s="23">
        <v>1</v>
      </c>
      <c r="AJ47" s="27">
        <v>1.9E-3</v>
      </c>
      <c r="AK47" s="26">
        <v>645</v>
      </c>
      <c r="AL47" s="26">
        <v>0</v>
      </c>
      <c r="AM47" s="26">
        <v>0</v>
      </c>
      <c r="AN47" s="26">
        <v>0</v>
      </c>
      <c r="AO47" s="26">
        <v>28</v>
      </c>
      <c r="AP47" s="23">
        <v>1</v>
      </c>
      <c r="AQ47" s="27">
        <v>7.0400000000000004E-2</v>
      </c>
      <c r="AR47" s="26">
        <v>789501600</v>
      </c>
      <c r="AS47" s="25">
        <v>70.063400000000001</v>
      </c>
      <c r="AT47" s="25">
        <v>388.1549</v>
      </c>
      <c r="AU47" s="25">
        <v>1229.4152999999999</v>
      </c>
      <c r="AV47">
        <f t="shared" si="0"/>
        <v>100</v>
      </c>
    </row>
    <row r="48" spans="1:48" ht="16.5" x14ac:dyDescent="0.3">
      <c r="A48" s="22" t="s">
        <v>979</v>
      </c>
      <c r="B48" s="22" t="s">
        <v>980</v>
      </c>
      <c r="C48" s="22" t="s">
        <v>47</v>
      </c>
      <c r="D48" s="22" t="s">
        <v>958</v>
      </c>
      <c r="E48" s="22" t="s">
        <v>959</v>
      </c>
      <c r="F48" s="22" t="s">
        <v>958</v>
      </c>
      <c r="G48" s="22" t="s">
        <v>959</v>
      </c>
      <c r="H48" s="22" t="s">
        <v>966</v>
      </c>
      <c r="I48" s="22" t="s">
        <v>967</v>
      </c>
      <c r="J48" s="23">
        <v>1</v>
      </c>
      <c r="K48" s="24">
        <v>40.090000000000003</v>
      </c>
      <c r="L48" s="25">
        <v>5.7286999999999999</v>
      </c>
      <c r="M48" s="24">
        <v>99.9</v>
      </c>
      <c r="N48" s="24">
        <v>99.85</v>
      </c>
      <c r="O48" s="24">
        <v>99.85</v>
      </c>
      <c r="P48" s="24">
        <v>99.85</v>
      </c>
      <c r="Q48" s="26">
        <v>0</v>
      </c>
      <c r="R48" s="24">
        <v>0.36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3">
        <v>0</v>
      </c>
      <c r="Y48" s="27">
        <v>6.9999999999999999E-4</v>
      </c>
      <c r="Z48" s="27">
        <v>0.48849999999999999</v>
      </c>
      <c r="AA48" s="27">
        <v>0.1404</v>
      </c>
      <c r="AB48" s="27">
        <v>0.23319999999999999</v>
      </c>
      <c r="AC48" s="27">
        <v>1.4E-3</v>
      </c>
      <c r="AD48" s="24">
        <v>-9.24</v>
      </c>
      <c r="AE48" s="24">
        <v>-94.6</v>
      </c>
      <c r="AF48" s="24">
        <v>99.91</v>
      </c>
      <c r="AG48" s="26">
        <v>100</v>
      </c>
      <c r="AH48" s="24">
        <v>66.67</v>
      </c>
      <c r="AI48" s="23">
        <v>1</v>
      </c>
      <c r="AJ48" s="27">
        <v>1.6999999999999999E-3</v>
      </c>
      <c r="AK48" s="26">
        <v>235</v>
      </c>
      <c r="AL48" s="26">
        <v>0</v>
      </c>
      <c r="AM48" s="26">
        <v>0</v>
      </c>
      <c r="AN48" s="26">
        <v>0</v>
      </c>
      <c r="AO48" s="26">
        <v>20</v>
      </c>
      <c r="AP48" s="23">
        <v>1</v>
      </c>
      <c r="AQ48" s="27">
        <v>5.3100000000000001E-2</v>
      </c>
      <c r="AR48" s="26">
        <v>789501600</v>
      </c>
      <c r="AS48" s="25">
        <v>61.023299999999999</v>
      </c>
      <c r="AT48" s="25">
        <v>221.3614</v>
      </c>
      <c r="AU48" s="25">
        <v>1369.6251</v>
      </c>
      <c r="AV48">
        <f t="shared" si="0"/>
        <v>100</v>
      </c>
    </row>
    <row r="49" spans="1:48" ht="16.5" x14ac:dyDescent="0.3">
      <c r="A49" s="22" t="s">
        <v>979</v>
      </c>
      <c r="B49" s="22" t="s">
        <v>980</v>
      </c>
      <c r="C49" s="22" t="s">
        <v>47</v>
      </c>
      <c r="D49" s="22" t="s">
        <v>958</v>
      </c>
      <c r="E49" s="22" t="s">
        <v>959</v>
      </c>
      <c r="F49" s="22" t="s">
        <v>958</v>
      </c>
      <c r="G49" s="22" t="s">
        <v>959</v>
      </c>
      <c r="H49" s="22" t="s">
        <v>968</v>
      </c>
      <c r="I49" s="22" t="s">
        <v>969</v>
      </c>
      <c r="J49" s="23">
        <v>1</v>
      </c>
      <c r="K49" s="24">
        <v>22.24</v>
      </c>
      <c r="L49" s="25">
        <v>4.3010000000000002</v>
      </c>
      <c r="M49" s="24">
        <v>99.67</v>
      </c>
      <c r="N49" s="24">
        <v>99.75</v>
      </c>
      <c r="O49" s="24">
        <v>99.75</v>
      </c>
      <c r="P49" s="24">
        <v>99.75</v>
      </c>
      <c r="Q49" s="26">
        <v>0</v>
      </c>
      <c r="R49" s="24">
        <v>0.27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3">
        <v>0</v>
      </c>
      <c r="Y49" s="23">
        <v>0</v>
      </c>
      <c r="Z49" s="27">
        <v>0.43159999999999998</v>
      </c>
      <c r="AA49" s="27">
        <v>0.1106</v>
      </c>
      <c r="AB49" s="27">
        <v>0.22270000000000001</v>
      </c>
      <c r="AC49" s="27">
        <v>5.0000000000000001E-4</v>
      </c>
      <c r="AD49" s="24">
        <v>-9.0299999999999994</v>
      </c>
      <c r="AE49" s="24">
        <v>-98.89</v>
      </c>
      <c r="AF49" s="24">
        <v>99.96</v>
      </c>
      <c r="AG49" s="26">
        <v>100</v>
      </c>
      <c r="AH49" s="26">
        <v>100</v>
      </c>
      <c r="AI49" s="27">
        <v>0.99960000000000004</v>
      </c>
      <c r="AJ49" s="27">
        <v>2.9999999999999997E-4</v>
      </c>
      <c r="AK49" s="26">
        <v>143</v>
      </c>
      <c r="AL49" s="26">
        <v>0</v>
      </c>
      <c r="AM49" s="26">
        <v>0</v>
      </c>
      <c r="AN49" s="26">
        <v>0</v>
      </c>
      <c r="AO49" s="26">
        <v>27</v>
      </c>
      <c r="AP49" s="23">
        <v>1</v>
      </c>
      <c r="AQ49" s="27">
        <v>4.3099999999999999E-2</v>
      </c>
      <c r="AR49" s="26">
        <v>789501600</v>
      </c>
      <c r="AS49" s="25">
        <v>44.34</v>
      </c>
      <c r="AT49" s="25">
        <v>242.98609999999999</v>
      </c>
      <c r="AU49" s="25">
        <v>967.23540000000003</v>
      </c>
      <c r="AV49">
        <f t="shared" si="0"/>
        <v>100</v>
      </c>
    </row>
    <row r="50" spans="1:48" ht="16.5" x14ac:dyDescent="0.3">
      <c r="A50" s="22" t="s">
        <v>980</v>
      </c>
      <c r="B50" s="22" t="s">
        <v>981</v>
      </c>
      <c r="C50" s="22" t="s">
        <v>47</v>
      </c>
      <c r="D50" s="22" t="s">
        <v>958</v>
      </c>
      <c r="E50" s="22" t="s">
        <v>959</v>
      </c>
      <c r="F50" s="22" t="s">
        <v>958</v>
      </c>
      <c r="G50" s="22" t="s">
        <v>959</v>
      </c>
      <c r="H50" s="22" t="s">
        <v>962</v>
      </c>
      <c r="I50" s="22" t="s">
        <v>963</v>
      </c>
      <c r="J50" s="23">
        <v>1</v>
      </c>
      <c r="K50" s="24">
        <v>23.25</v>
      </c>
      <c r="L50" s="25">
        <v>7.9053000000000004</v>
      </c>
      <c r="M50" s="24">
        <v>99.75</v>
      </c>
      <c r="N50" s="24">
        <v>99.5</v>
      </c>
      <c r="O50" s="24">
        <v>99.48</v>
      </c>
      <c r="P50" s="24">
        <v>99.48</v>
      </c>
      <c r="Q50" s="24">
        <v>0.17</v>
      </c>
      <c r="R50" s="24">
        <v>0.23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3">
        <v>0</v>
      </c>
      <c r="Y50" s="23">
        <v>0</v>
      </c>
      <c r="Z50" s="27">
        <v>0.5867</v>
      </c>
      <c r="AA50" s="27">
        <v>0.4047</v>
      </c>
      <c r="AB50" s="27">
        <v>0.19400000000000001</v>
      </c>
      <c r="AC50" s="27">
        <v>2.9999999999999997E-4</v>
      </c>
      <c r="AD50" s="24">
        <v>-10.49</v>
      </c>
      <c r="AE50" s="24">
        <v>-94.67</v>
      </c>
      <c r="AF50" s="24">
        <v>99.9</v>
      </c>
      <c r="AI50" s="27">
        <v>0.99980000000000002</v>
      </c>
      <c r="AJ50" s="27">
        <v>1E-4</v>
      </c>
      <c r="AK50" s="26">
        <v>278</v>
      </c>
      <c r="AL50" s="26">
        <v>0</v>
      </c>
      <c r="AM50" s="26">
        <v>0</v>
      </c>
      <c r="AN50" s="26">
        <v>0</v>
      </c>
      <c r="AO50" s="26">
        <v>28</v>
      </c>
      <c r="AP50" s="23">
        <v>1</v>
      </c>
      <c r="AQ50" s="27">
        <v>0.16800000000000001</v>
      </c>
      <c r="AR50" s="26">
        <v>789501600</v>
      </c>
      <c r="AS50" s="25">
        <v>66.931700000000006</v>
      </c>
      <c r="AT50" s="25">
        <v>337.91250000000002</v>
      </c>
      <c r="AU50" s="25">
        <v>1869.3696</v>
      </c>
      <c r="AV50">
        <f t="shared" si="0"/>
        <v>100</v>
      </c>
    </row>
    <row r="51" spans="1:48" ht="16.5" x14ac:dyDescent="0.3">
      <c r="A51" s="22" t="s">
        <v>980</v>
      </c>
      <c r="B51" s="22" t="s">
        <v>981</v>
      </c>
      <c r="C51" s="22" t="s">
        <v>47</v>
      </c>
      <c r="D51" s="22" t="s">
        <v>958</v>
      </c>
      <c r="E51" s="22" t="s">
        <v>959</v>
      </c>
      <c r="F51" s="22" t="s">
        <v>958</v>
      </c>
      <c r="G51" s="22" t="s">
        <v>959</v>
      </c>
      <c r="H51" s="22" t="s">
        <v>964</v>
      </c>
      <c r="I51" s="22" t="s">
        <v>965</v>
      </c>
      <c r="J51" s="23">
        <v>1</v>
      </c>
      <c r="K51" s="24">
        <v>19.86</v>
      </c>
      <c r="L51" s="25">
        <v>6.3108000000000004</v>
      </c>
      <c r="M51" s="24">
        <v>99.52</v>
      </c>
      <c r="N51" s="24">
        <v>99.82</v>
      </c>
      <c r="O51" s="24">
        <v>99.83</v>
      </c>
      <c r="P51" s="24">
        <v>99.84</v>
      </c>
      <c r="Q51" s="24">
        <v>0.12</v>
      </c>
      <c r="R51" s="24">
        <v>0.38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3">
        <v>0</v>
      </c>
      <c r="Y51" s="23">
        <v>0</v>
      </c>
      <c r="Z51" s="27">
        <v>0.55830000000000002</v>
      </c>
      <c r="AA51" s="27">
        <v>0.14760000000000001</v>
      </c>
      <c r="AB51" s="27">
        <v>0.156</v>
      </c>
      <c r="AC51" s="27">
        <v>5.0000000000000001E-4</v>
      </c>
      <c r="AD51" s="24">
        <v>-10.52</v>
      </c>
      <c r="AE51" s="24">
        <v>-97.74</v>
      </c>
      <c r="AF51" s="24">
        <v>99.92</v>
      </c>
      <c r="AG51" s="26">
        <v>100</v>
      </c>
      <c r="AH51" s="26">
        <v>100</v>
      </c>
      <c r="AI51" s="27">
        <v>0.99980000000000002</v>
      </c>
      <c r="AJ51" s="27">
        <v>3.5000000000000001E-3</v>
      </c>
      <c r="AK51" s="26">
        <v>497</v>
      </c>
      <c r="AL51" s="26">
        <v>0</v>
      </c>
      <c r="AM51" s="26">
        <v>0</v>
      </c>
      <c r="AN51" s="26">
        <v>0</v>
      </c>
      <c r="AO51" s="26">
        <v>20</v>
      </c>
      <c r="AP51" s="23">
        <v>1</v>
      </c>
      <c r="AQ51" s="27">
        <v>6.9099999999999995E-2</v>
      </c>
      <c r="AR51" s="26">
        <v>789501600</v>
      </c>
      <c r="AS51" s="25">
        <v>61.060099999999998</v>
      </c>
      <c r="AT51" s="25">
        <v>308.20659999999998</v>
      </c>
      <c r="AU51" s="25">
        <v>1477.8898999999999</v>
      </c>
      <c r="AV51">
        <f t="shared" si="0"/>
        <v>100</v>
      </c>
    </row>
    <row r="52" spans="1:48" ht="16.5" x14ac:dyDescent="0.3">
      <c r="A52" s="22" t="s">
        <v>980</v>
      </c>
      <c r="B52" s="22" t="s">
        <v>981</v>
      </c>
      <c r="C52" s="22" t="s">
        <v>47</v>
      </c>
      <c r="D52" s="22" t="s">
        <v>958</v>
      </c>
      <c r="E52" s="22" t="s">
        <v>959</v>
      </c>
      <c r="F52" s="22" t="s">
        <v>958</v>
      </c>
      <c r="G52" s="22" t="s">
        <v>959</v>
      </c>
      <c r="H52" s="22" t="s">
        <v>966</v>
      </c>
      <c r="I52" s="22" t="s">
        <v>967</v>
      </c>
      <c r="J52" s="23">
        <v>1</v>
      </c>
      <c r="K52" s="24">
        <v>25.74</v>
      </c>
      <c r="L52" s="25">
        <v>5.7633000000000001</v>
      </c>
      <c r="M52" s="24">
        <v>99.72</v>
      </c>
      <c r="N52" s="24">
        <v>99.93</v>
      </c>
      <c r="O52" s="24">
        <v>99.93</v>
      </c>
      <c r="P52" s="24">
        <v>99.93</v>
      </c>
      <c r="Q52" s="26">
        <v>0</v>
      </c>
      <c r="R52" s="24">
        <v>0.22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3">
        <v>0</v>
      </c>
      <c r="Y52" s="27">
        <v>5.0000000000000001E-4</v>
      </c>
      <c r="Z52" s="27">
        <v>0.4274</v>
      </c>
      <c r="AA52" s="27">
        <v>0.1303</v>
      </c>
      <c r="AB52" s="27">
        <v>0.20250000000000001</v>
      </c>
      <c r="AC52" s="27">
        <v>6.9999999999999999E-4</v>
      </c>
      <c r="AD52" s="24">
        <v>-8.14</v>
      </c>
      <c r="AE52" s="24">
        <v>-94.89</v>
      </c>
      <c r="AF52" s="24">
        <v>99.96</v>
      </c>
      <c r="AG52" s="26">
        <v>100</v>
      </c>
      <c r="AH52" s="26">
        <v>100</v>
      </c>
      <c r="AI52" s="23">
        <v>1</v>
      </c>
      <c r="AJ52" s="27">
        <v>6.3E-3</v>
      </c>
      <c r="AK52" s="26">
        <v>211</v>
      </c>
      <c r="AL52" s="26">
        <v>0</v>
      </c>
      <c r="AM52" s="26">
        <v>0</v>
      </c>
      <c r="AN52" s="26">
        <v>0</v>
      </c>
      <c r="AO52" s="26">
        <v>20</v>
      </c>
      <c r="AP52" s="23">
        <v>1</v>
      </c>
      <c r="AQ52" s="27">
        <v>4.9099999999999998E-2</v>
      </c>
      <c r="AR52" s="26">
        <v>789501600</v>
      </c>
      <c r="AS52" s="25">
        <v>47.3917</v>
      </c>
      <c r="AT52" s="25">
        <v>223.95410000000001</v>
      </c>
      <c r="AU52" s="25">
        <v>1382.9422999999999</v>
      </c>
      <c r="AV52">
        <f t="shared" si="0"/>
        <v>100</v>
      </c>
    </row>
    <row r="53" spans="1:48" ht="16.5" x14ac:dyDescent="0.3">
      <c r="A53" s="22" t="s">
        <v>980</v>
      </c>
      <c r="B53" s="22" t="s">
        <v>981</v>
      </c>
      <c r="C53" s="22" t="s">
        <v>47</v>
      </c>
      <c r="D53" s="22" t="s">
        <v>958</v>
      </c>
      <c r="E53" s="22" t="s">
        <v>959</v>
      </c>
      <c r="F53" s="22" t="s">
        <v>958</v>
      </c>
      <c r="G53" s="22" t="s">
        <v>959</v>
      </c>
      <c r="H53" s="22" t="s">
        <v>968</v>
      </c>
      <c r="I53" s="22" t="s">
        <v>969</v>
      </c>
      <c r="J53" s="23">
        <v>1</v>
      </c>
      <c r="K53" s="24">
        <v>20.02</v>
      </c>
      <c r="L53" s="25">
        <v>3.6539000000000001</v>
      </c>
      <c r="M53" s="24">
        <v>99.76</v>
      </c>
      <c r="N53" s="24">
        <v>99.82</v>
      </c>
      <c r="O53" s="24">
        <v>99.81</v>
      </c>
      <c r="P53" s="24">
        <v>99.81</v>
      </c>
      <c r="Q53" s="26">
        <v>0</v>
      </c>
      <c r="R53" s="24">
        <v>0.09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3">
        <v>0</v>
      </c>
      <c r="Y53" s="23">
        <v>0</v>
      </c>
      <c r="Z53" s="27">
        <v>0.35949999999999999</v>
      </c>
      <c r="AA53" s="27">
        <v>0.10979999999999999</v>
      </c>
      <c r="AB53" s="27">
        <v>0.1938</v>
      </c>
      <c r="AC53" s="27">
        <v>4.0000000000000002E-4</v>
      </c>
      <c r="AD53" s="24">
        <v>-8.19</v>
      </c>
      <c r="AE53" s="24">
        <v>-99.31</v>
      </c>
      <c r="AF53" s="24">
        <v>99.95</v>
      </c>
      <c r="AG53" s="26">
        <v>100</v>
      </c>
      <c r="AH53" s="26">
        <v>75</v>
      </c>
      <c r="AI53" s="27">
        <v>0.99980000000000002</v>
      </c>
      <c r="AJ53" s="27">
        <v>1.4E-3</v>
      </c>
      <c r="AK53" s="26">
        <v>160</v>
      </c>
      <c r="AL53" s="26">
        <v>0</v>
      </c>
      <c r="AM53" s="26">
        <v>0</v>
      </c>
      <c r="AN53" s="26">
        <v>0</v>
      </c>
      <c r="AO53" s="26">
        <v>25</v>
      </c>
      <c r="AP53" s="23">
        <v>1</v>
      </c>
      <c r="AQ53" s="27">
        <v>4.2500000000000003E-2</v>
      </c>
      <c r="AR53" s="26">
        <v>789501600</v>
      </c>
      <c r="AS53" s="25">
        <v>37.715000000000003</v>
      </c>
      <c r="AT53" s="25">
        <v>179.27269999999999</v>
      </c>
      <c r="AU53" s="25">
        <v>844.34040000000005</v>
      </c>
      <c r="AV53">
        <f t="shared" si="0"/>
        <v>100</v>
      </c>
    </row>
    <row r="54" spans="1:48" ht="16.5" x14ac:dyDescent="0.3">
      <c r="A54" s="22" t="s">
        <v>981</v>
      </c>
      <c r="B54" s="22" t="s">
        <v>982</v>
      </c>
      <c r="C54" s="22" t="s">
        <v>47</v>
      </c>
      <c r="D54" s="22" t="s">
        <v>958</v>
      </c>
      <c r="E54" s="22" t="s">
        <v>959</v>
      </c>
      <c r="F54" s="22" t="s">
        <v>958</v>
      </c>
      <c r="G54" s="22" t="s">
        <v>959</v>
      </c>
      <c r="H54" s="22" t="s">
        <v>962</v>
      </c>
      <c r="I54" s="22" t="s">
        <v>963</v>
      </c>
      <c r="J54" s="23">
        <v>1</v>
      </c>
      <c r="K54" s="24">
        <v>13.72</v>
      </c>
      <c r="L54" s="25">
        <v>7.3548999999999998</v>
      </c>
      <c r="M54" s="24">
        <v>99.83</v>
      </c>
      <c r="N54" s="24">
        <v>99.79</v>
      </c>
      <c r="O54" s="24">
        <v>99.79</v>
      </c>
      <c r="P54" s="24">
        <v>99.79</v>
      </c>
      <c r="Q54" s="24">
        <v>0.19</v>
      </c>
      <c r="R54" s="24">
        <v>0.12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3">
        <v>0</v>
      </c>
      <c r="Y54" s="23">
        <v>0</v>
      </c>
      <c r="Z54" s="27">
        <v>0.51559999999999995</v>
      </c>
      <c r="AA54" s="27">
        <v>0.33879999999999999</v>
      </c>
      <c r="AB54" s="27">
        <v>0.1583</v>
      </c>
      <c r="AC54" s="27">
        <v>2.0000000000000001E-4</v>
      </c>
      <c r="AD54" s="24">
        <v>-9.86</v>
      </c>
      <c r="AE54" s="24">
        <v>-96.15</v>
      </c>
      <c r="AF54" s="24">
        <v>99.96</v>
      </c>
      <c r="AI54" s="23">
        <v>1</v>
      </c>
      <c r="AJ54" s="23">
        <v>0</v>
      </c>
      <c r="AK54" s="26">
        <v>314</v>
      </c>
      <c r="AL54" s="26">
        <v>0</v>
      </c>
      <c r="AM54" s="26">
        <v>0</v>
      </c>
      <c r="AN54" s="26">
        <v>0</v>
      </c>
      <c r="AO54" s="26">
        <v>26</v>
      </c>
      <c r="AP54" s="23">
        <v>1</v>
      </c>
      <c r="AQ54" s="27">
        <v>0.13619999999999999</v>
      </c>
      <c r="AR54" s="26">
        <v>789501600</v>
      </c>
      <c r="AS54" s="25">
        <v>51.068399999999997</v>
      </c>
      <c r="AT54" s="25">
        <v>241.20150000000001</v>
      </c>
      <c r="AU54" s="25">
        <v>1810.2588000000001</v>
      </c>
      <c r="AV54">
        <f t="shared" si="0"/>
        <v>100</v>
      </c>
    </row>
    <row r="55" spans="1:48" ht="16.5" x14ac:dyDescent="0.3">
      <c r="A55" s="22" t="s">
        <v>981</v>
      </c>
      <c r="B55" s="22" t="s">
        <v>982</v>
      </c>
      <c r="C55" s="22" t="s">
        <v>47</v>
      </c>
      <c r="D55" s="22" t="s">
        <v>958</v>
      </c>
      <c r="E55" s="22" t="s">
        <v>959</v>
      </c>
      <c r="F55" s="22" t="s">
        <v>958</v>
      </c>
      <c r="G55" s="22" t="s">
        <v>959</v>
      </c>
      <c r="H55" s="22" t="s">
        <v>964</v>
      </c>
      <c r="I55" s="22" t="s">
        <v>965</v>
      </c>
      <c r="J55" s="23">
        <v>1</v>
      </c>
      <c r="K55" s="24">
        <v>13.2</v>
      </c>
      <c r="L55" s="25">
        <v>5.0481999999999996</v>
      </c>
      <c r="M55" s="26">
        <v>100</v>
      </c>
      <c r="N55" s="24">
        <v>99.58</v>
      </c>
      <c r="O55" s="24">
        <v>99.59</v>
      </c>
      <c r="P55" s="24">
        <v>99.59</v>
      </c>
      <c r="Q55" s="26">
        <v>0</v>
      </c>
      <c r="R55" s="24">
        <v>0.28999999999999998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3">
        <v>0</v>
      </c>
      <c r="Y55" s="23">
        <v>0</v>
      </c>
      <c r="Z55" s="27">
        <v>0.44719999999999999</v>
      </c>
      <c r="AA55" s="27">
        <v>0.10829999999999999</v>
      </c>
      <c r="AB55" s="27">
        <v>0.121</v>
      </c>
      <c r="AC55" s="27">
        <v>6.9999999999999999E-4</v>
      </c>
      <c r="AD55" s="24">
        <v>-9.59</v>
      </c>
      <c r="AE55" s="24">
        <v>-98.76</v>
      </c>
      <c r="AF55" s="24">
        <v>99.76</v>
      </c>
      <c r="AG55" s="26">
        <v>100</v>
      </c>
      <c r="AH55" s="26">
        <v>100</v>
      </c>
      <c r="AI55" s="23">
        <v>1</v>
      </c>
      <c r="AJ55" s="27">
        <v>2.9999999999999997E-4</v>
      </c>
      <c r="AK55" s="26">
        <v>493</v>
      </c>
      <c r="AL55" s="26">
        <v>0</v>
      </c>
      <c r="AM55" s="26">
        <v>0</v>
      </c>
      <c r="AN55" s="26">
        <v>0</v>
      </c>
      <c r="AO55" s="26">
        <v>23</v>
      </c>
      <c r="AP55" s="23">
        <v>1</v>
      </c>
      <c r="AQ55" s="27">
        <v>4.9399999999999999E-2</v>
      </c>
      <c r="AR55" s="26">
        <v>789501600</v>
      </c>
      <c r="AS55" s="25">
        <v>47.8917</v>
      </c>
      <c r="AT55" s="25">
        <v>235.38050000000001</v>
      </c>
      <c r="AU55" s="25">
        <v>1187.7696000000001</v>
      </c>
      <c r="AV55">
        <f t="shared" si="0"/>
        <v>100</v>
      </c>
    </row>
    <row r="56" spans="1:48" ht="16.5" x14ac:dyDescent="0.3">
      <c r="A56" s="22" t="s">
        <v>981</v>
      </c>
      <c r="B56" s="22" t="s">
        <v>982</v>
      </c>
      <c r="C56" s="22" t="s">
        <v>47</v>
      </c>
      <c r="D56" s="22" t="s">
        <v>958</v>
      </c>
      <c r="E56" s="22" t="s">
        <v>959</v>
      </c>
      <c r="F56" s="22" t="s">
        <v>958</v>
      </c>
      <c r="G56" s="22" t="s">
        <v>959</v>
      </c>
      <c r="H56" s="22" t="s">
        <v>966</v>
      </c>
      <c r="I56" s="22" t="s">
        <v>967</v>
      </c>
      <c r="J56" s="23">
        <v>1</v>
      </c>
      <c r="K56" s="24">
        <v>17.32</v>
      </c>
      <c r="L56" s="25">
        <v>6.6191000000000004</v>
      </c>
      <c r="M56" s="26">
        <v>100</v>
      </c>
      <c r="N56" s="24">
        <v>99.93</v>
      </c>
      <c r="O56" s="24">
        <v>99.92</v>
      </c>
      <c r="P56" s="24">
        <v>99.92</v>
      </c>
      <c r="Q56" s="26">
        <v>0</v>
      </c>
      <c r="R56" s="24">
        <v>0.09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3">
        <v>0</v>
      </c>
      <c r="Y56" s="27">
        <v>1.6000000000000001E-3</v>
      </c>
      <c r="Z56" s="27">
        <v>0.34849999999999998</v>
      </c>
      <c r="AA56" s="27">
        <v>9.8000000000000004E-2</v>
      </c>
      <c r="AB56" s="27">
        <v>0.16489999999999999</v>
      </c>
      <c r="AC56" s="27">
        <v>1E-3</v>
      </c>
      <c r="AD56" s="24">
        <v>-7.09</v>
      </c>
      <c r="AE56" s="24">
        <v>-96.5</v>
      </c>
      <c r="AF56" s="24">
        <v>99.95</v>
      </c>
      <c r="AG56" s="26">
        <v>100</v>
      </c>
      <c r="AI56" s="23">
        <v>1</v>
      </c>
      <c r="AJ56" s="27">
        <v>9.4000000000000004E-3</v>
      </c>
      <c r="AK56" s="26">
        <v>206</v>
      </c>
      <c r="AL56" s="26">
        <v>0</v>
      </c>
      <c r="AM56" s="26">
        <v>0</v>
      </c>
      <c r="AN56" s="26">
        <v>0</v>
      </c>
      <c r="AO56" s="26">
        <v>16</v>
      </c>
      <c r="AP56" s="23">
        <v>1</v>
      </c>
      <c r="AQ56" s="27">
        <v>3.5400000000000001E-2</v>
      </c>
      <c r="AR56" s="26">
        <v>789501600</v>
      </c>
      <c r="AS56" s="25">
        <v>37.416699999999999</v>
      </c>
      <c r="AT56" s="25">
        <v>174.45009999999999</v>
      </c>
      <c r="AU56" s="25">
        <v>1658.1873000000001</v>
      </c>
      <c r="AV56">
        <f t="shared" si="0"/>
        <v>100</v>
      </c>
    </row>
    <row r="57" spans="1:48" ht="16.5" x14ac:dyDescent="0.3">
      <c r="A57" s="22" t="s">
        <v>981</v>
      </c>
      <c r="B57" s="22" t="s">
        <v>982</v>
      </c>
      <c r="C57" s="22" t="s">
        <v>47</v>
      </c>
      <c r="D57" s="22" t="s">
        <v>958</v>
      </c>
      <c r="E57" s="22" t="s">
        <v>959</v>
      </c>
      <c r="F57" s="22" t="s">
        <v>958</v>
      </c>
      <c r="G57" s="22" t="s">
        <v>959</v>
      </c>
      <c r="H57" s="22" t="s">
        <v>968</v>
      </c>
      <c r="I57" s="22" t="s">
        <v>969</v>
      </c>
      <c r="J57" s="23">
        <v>1</v>
      </c>
      <c r="K57" s="24">
        <v>13.08</v>
      </c>
      <c r="L57" s="25">
        <v>3.7029000000000001</v>
      </c>
      <c r="M57" s="24">
        <v>99.63</v>
      </c>
      <c r="N57" s="24">
        <v>99.79</v>
      </c>
      <c r="O57" s="24">
        <v>99.79</v>
      </c>
      <c r="P57" s="24">
        <v>99.79</v>
      </c>
      <c r="Q57" s="26">
        <v>0</v>
      </c>
      <c r="R57" s="24">
        <v>0.12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3">
        <v>0</v>
      </c>
      <c r="Y57" s="23">
        <v>0</v>
      </c>
      <c r="Z57" s="27">
        <v>0.31730000000000003</v>
      </c>
      <c r="AA57" s="27">
        <v>8.4500000000000006E-2</v>
      </c>
      <c r="AB57" s="27">
        <v>0.15790000000000001</v>
      </c>
      <c r="AC57" s="27">
        <v>4.0000000000000002E-4</v>
      </c>
      <c r="AD57" s="24">
        <v>-7.61</v>
      </c>
      <c r="AE57" s="24">
        <v>-100.21</v>
      </c>
      <c r="AF57" s="24">
        <v>99.97</v>
      </c>
      <c r="AG57" s="24">
        <v>87.5</v>
      </c>
      <c r="AI57" s="23">
        <v>1</v>
      </c>
      <c r="AJ57" s="27">
        <v>5.9999999999999995E-4</v>
      </c>
      <c r="AK57" s="26">
        <v>170</v>
      </c>
      <c r="AL57" s="26">
        <v>0</v>
      </c>
      <c r="AM57" s="26">
        <v>0</v>
      </c>
      <c r="AN57" s="26">
        <v>0</v>
      </c>
      <c r="AO57" s="26">
        <v>23</v>
      </c>
      <c r="AP57" s="23">
        <v>1</v>
      </c>
      <c r="AQ57" s="27">
        <v>3.2500000000000001E-2</v>
      </c>
      <c r="AR57" s="26">
        <v>789501600</v>
      </c>
      <c r="AS57" s="25">
        <v>27.7483</v>
      </c>
      <c r="AT57" s="25">
        <v>147.1712</v>
      </c>
      <c r="AU57" s="25">
        <v>879.71040000000005</v>
      </c>
      <c r="AV57">
        <f t="shared" si="0"/>
        <v>100</v>
      </c>
    </row>
    <row r="58" spans="1:48" ht="16.5" x14ac:dyDescent="0.3">
      <c r="A58" s="22" t="s">
        <v>982</v>
      </c>
      <c r="B58" s="22" t="s">
        <v>983</v>
      </c>
      <c r="C58" s="22" t="s">
        <v>47</v>
      </c>
      <c r="D58" s="22" t="s">
        <v>958</v>
      </c>
      <c r="E58" s="22" t="s">
        <v>959</v>
      </c>
      <c r="F58" s="22" t="s">
        <v>958</v>
      </c>
      <c r="G58" s="22" t="s">
        <v>959</v>
      </c>
      <c r="H58" s="22" t="s">
        <v>962</v>
      </c>
      <c r="I58" s="22" t="s">
        <v>963</v>
      </c>
      <c r="J58" s="23">
        <v>1</v>
      </c>
      <c r="K58" s="24">
        <v>10.96</v>
      </c>
      <c r="L58" s="25">
        <v>8.6456999999999997</v>
      </c>
      <c r="M58" s="26">
        <v>100</v>
      </c>
      <c r="N58" s="24">
        <v>99.42</v>
      </c>
      <c r="O58" s="24">
        <v>99.39</v>
      </c>
      <c r="P58" s="24">
        <v>99.39</v>
      </c>
      <c r="Q58" s="24">
        <v>0.42</v>
      </c>
      <c r="R58" s="24">
        <v>0.15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3">
        <v>0</v>
      </c>
      <c r="Y58" s="23">
        <v>0</v>
      </c>
      <c r="Z58" s="27">
        <v>0.46810000000000002</v>
      </c>
      <c r="AA58" s="27">
        <v>0.28439999999999999</v>
      </c>
      <c r="AB58" s="27">
        <v>0.13569999999999999</v>
      </c>
      <c r="AC58" s="27">
        <v>2.0000000000000001E-4</v>
      </c>
      <c r="AD58" s="24">
        <v>-9.23</v>
      </c>
      <c r="AE58" s="24">
        <v>-96.07</v>
      </c>
      <c r="AF58" s="24">
        <v>99.95</v>
      </c>
      <c r="AG58" s="26">
        <v>50</v>
      </c>
      <c r="AI58" s="23">
        <v>1</v>
      </c>
      <c r="AJ58" s="27">
        <v>1E-4</v>
      </c>
      <c r="AK58" s="26">
        <v>490</v>
      </c>
      <c r="AL58" s="26">
        <v>0</v>
      </c>
      <c r="AM58" s="26">
        <v>0</v>
      </c>
      <c r="AN58" s="26">
        <v>0</v>
      </c>
      <c r="AO58" s="26">
        <v>34</v>
      </c>
      <c r="AP58" s="23">
        <v>1</v>
      </c>
      <c r="AQ58" s="27">
        <v>0.12230000000000001</v>
      </c>
      <c r="AR58" s="26">
        <v>789501600</v>
      </c>
      <c r="AS58" s="25">
        <v>41.810099999999998</v>
      </c>
      <c r="AT58" s="25">
        <v>216.2105</v>
      </c>
      <c r="AU58" s="25">
        <v>2201.6858999999999</v>
      </c>
      <c r="AV58">
        <f t="shared" si="0"/>
        <v>100</v>
      </c>
    </row>
    <row r="59" spans="1:48" ht="16.5" x14ac:dyDescent="0.3">
      <c r="A59" s="22" t="s">
        <v>982</v>
      </c>
      <c r="B59" s="22" t="s">
        <v>983</v>
      </c>
      <c r="C59" s="22" t="s">
        <v>47</v>
      </c>
      <c r="D59" s="22" t="s">
        <v>958</v>
      </c>
      <c r="E59" s="22" t="s">
        <v>959</v>
      </c>
      <c r="F59" s="22" t="s">
        <v>958</v>
      </c>
      <c r="G59" s="22" t="s">
        <v>959</v>
      </c>
      <c r="H59" s="22" t="s">
        <v>964</v>
      </c>
      <c r="I59" s="22" t="s">
        <v>965</v>
      </c>
      <c r="J59" s="23">
        <v>1</v>
      </c>
      <c r="K59" s="24">
        <v>4.93</v>
      </c>
      <c r="L59" s="25">
        <v>5.1283000000000003</v>
      </c>
      <c r="M59" s="26">
        <v>100</v>
      </c>
      <c r="N59" s="24">
        <v>99.28</v>
      </c>
      <c r="O59" s="24">
        <v>99.3</v>
      </c>
      <c r="P59" s="24">
        <v>99.31</v>
      </c>
      <c r="Q59" s="26">
        <v>0</v>
      </c>
      <c r="R59" s="24">
        <v>0.42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3">
        <v>0</v>
      </c>
      <c r="Y59" s="23">
        <v>0</v>
      </c>
      <c r="Z59" s="27">
        <v>0.4194</v>
      </c>
      <c r="AA59" s="27">
        <v>9.7100000000000006E-2</v>
      </c>
      <c r="AB59" s="27">
        <v>0.1033</v>
      </c>
      <c r="AC59" s="27">
        <v>5.0000000000000001E-4</v>
      </c>
      <c r="AD59" s="24">
        <v>-9.36</v>
      </c>
      <c r="AE59" s="24">
        <v>-99.79</v>
      </c>
      <c r="AF59" s="24">
        <v>99.93</v>
      </c>
      <c r="AG59" s="26">
        <v>100</v>
      </c>
      <c r="AI59" s="23">
        <v>1</v>
      </c>
      <c r="AJ59" s="27">
        <v>7.4000000000000003E-3</v>
      </c>
      <c r="AK59" s="26">
        <v>416</v>
      </c>
      <c r="AL59" s="26">
        <v>0</v>
      </c>
      <c r="AM59" s="26">
        <v>0</v>
      </c>
      <c r="AN59" s="26">
        <v>0</v>
      </c>
      <c r="AO59" s="26">
        <v>34</v>
      </c>
      <c r="AP59" s="23">
        <v>1</v>
      </c>
      <c r="AQ59" s="27">
        <v>4.3499999999999997E-2</v>
      </c>
      <c r="AR59" s="26">
        <v>789501600</v>
      </c>
      <c r="AS59" s="25">
        <v>37.933399999999999</v>
      </c>
      <c r="AT59" s="25">
        <v>189.09399999999999</v>
      </c>
      <c r="AU59" s="25">
        <v>1260.5527999999999</v>
      </c>
      <c r="AV59">
        <f t="shared" si="0"/>
        <v>100</v>
      </c>
    </row>
    <row r="60" spans="1:48" ht="16.5" x14ac:dyDescent="0.3">
      <c r="A60" s="22" t="s">
        <v>982</v>
      </c>
      <c r="B60" s="22" t="s">
        <v>983</v>
      </c>
      <c r="C60" s="22" t="s">
        <v>47</v>
      </c>
      <c r="D60" s="22" t="s">
        <v>958</v>
      </c>
      <c r="E60" s="22" t="s">
        <v>959</v>
      </c>
      <c r="F60" s="22" t="s">
        <v>958</v>
      </c>
      <c r="G60" s="22" t="s">
        <v>959</v>
      </c>
      <c r="H60" s="22" t="s">
        <v>966</v>
      </c>
      <c r="I60" s="22" t="s">
        <v>967</v>
      </c>
      <c r="J60" s="23">
        <v>1</v>
      </c>
      <c r="K60" s="24">
        <v>7.59</v>
      </c>
      <c r="L60" s="25">
        <v>2.7294999999999998</v>
      </c>
      <c r="M60" s="26">
        <v>100</v>
      </c>
      <c r="N60" s="24">
        <v>99.62</v>
      </c>
      <c r="O60" s="24">
        <v>99.62</v>
      </c>
      <c r="P60" s="24">
        <v>99.62</v>
      </c>
      <c r="Q60" s="26">
        <v>0</v>
      </c>
      <c r="R60" s="24">
        <v>0.19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3">
        <v>0</v>
      </c>
      <c r="Y60" s="23">
        <v>0</v>
      </c>
      <c r="Z60" s="27">
        <v>0.192</v>
      </c>
      <c r="AA60" s="27">
        <v>8.6699999999999999E-2</v>
      </c>
      <c r="AB60" s="27">
        <v>0.14119999999999999</v>
      </c>
      <c r="AC60" s="27">
        <v>1.1999999999999999E-3</v>
      </c>
      <c r="AD60" s="24">
        <v>-5.46</v>
      </c>
      <c r="AE60" s="24">
        <v>-96.45</v>
      </c>
      <c r="AF60" s="24">
        <v>99.94</v>
      </c>
      <c r="AG60" s="26">
        <v>100</v>
      </c>
      <c r="AI60" s="23">
        <v>1</v>
      </c>
      <c r="AJ60" s="27">
        <v>6.9999999999999999E-4</v>
      </c>
      <c r="AK60" s="26">
        <v>243</v>
      </c>
      <c r="AL60" s="26">
        <v>0</v>
      </c>
      <c r="AM60" s="26">
        <v>0</v>
      </c>
      <c r="AN60" s="26">
        <v>0</v>
      </c>
      <c r="AO60" s="26">
        <v>27</v>
      </c>
      <c r="AP60" s="27">
        <v>0.99990000000000001</v>
      </c>
      <c r="AQ60" s="27">
        <v>3.2500000000000001E-2</v>
      </c>
      <c r="AR60" s="26">
        <v>789501600</v>
      </c>
      <c r="AS60" s="25">
        <v>27.871700000000001</v>
      </c>
      <c r="AT60" s="25">
        <v>91.699600000000004</v>
      </c>
      <c r="AU60" s="25">
        <v>665.08609999999999</v>
      </c>
      <c r="AV60">
        <f t="shared" si="0"/>
        <v>100</v>
      </c>
    </row>
    <row r="61" spans="1:48" ht="16.5" x14ac:dyDescent="0.3">
      <c r="A61" s="22" t="s">
        <v>982</v>
      </c>
      <c r="B61" s="22" t="s">
        <v>983</v>
      </c>
      <c r="C61" s="22" t="s">
        <v>47</v>
      </c>
      <c r="D61" s="22" t="s">
        <v>958</v>
      </c>
      <c r="E61" s="22" t="s">
        <v>959</v>
      </c>
      <c r="F61" s="22" t="s">
        <v>958</v>
      </c>
      <c r="G61" s="22" t="s">
        <v>959</v>
      </c>
      <c r="H61" s="22" t="s">
        <v>968</v>
      </c>
      <c r="I61" s="22" t="s">
        <v>969</v>
      </c>
      <c r="J61" s="23">
        <v>1</v>
      </c>
      <c r="K61" s="24">
        <v>5.21</v>
      </c>
      <c r="L61" s="25">
        <v>2.9066999999999998</v>
      </c>
      <c r="M61" s="24">
        <v>99.57</v>
      </c>
      <c r="N61" s="24">
        <v>99.36</v>
      </c>
      <c r="O61" s="24">
        <v>99.35</v>
      </c>
      <c r="P61" s="24">
        <v>99.35</v>
      </c>
      <c r="Q61" s="26">
        <v>0</v>
      </c>
      <c r="R61" s="24">
        <v>0.22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3">
        <v>0</v>
      </c>
      <c r="Y61" s="23">
        <v>0</v>
      </c>
      <c r="Z61" s="27">
        <v>0.21579999999999999</v>
      </c>
      <c r="AA61" s="27">
        <v>6.2700000000000006E-2</v>
      </c>
      <c r="AB61" s="27">
        <v>0.1348</v>
      </c>
      <c r="AC61" s="27">
        <v>2.9999999999999997E-4</v>
      </c>
      <c r="AD61" s="24">
        <v>-6.15</v>
      </c>
      <c r="AE61" s="24">
        <v>-100.71</v>
      </c>
      <c r="AF61" s="24">
        <v>99.95</v>
      </c>
      <c r="AG61" s="26">
        <v>100</v>
      </c>
      <c r="AI61" s="27">
        <v>0.86119999999999997</v>
      </c>
      <c r="AJ61" s="27">
        <v>5.0000000000000001E-4</v>
      </c>
      <c r="AK61" s="26">
        <v>149</v>
      </c>
      <c r="AL61" s="26">
        <v>0</v>
      </c>
      <c r="AM61" s="26">
        <v>0</v>
      </c>
      <c r="AN61" s="26">
        <v>0</v>
      </c>
      <c r="AO61" s="26">
        <v>26</v>
      </c>
      <c r="AP61" s="23">
        <v>1</v>
      </c>
      <c r="AQ61" s="27">
        <v>2.3800000000000002E-2</v>
      </c>
      <c r="AR61" s="26">
        <v>789501600</v>
      </c>
      <c r="AS61" s="25">
        <v>18.331700000000001</v>
      </c>
      <c r="AT61" s="25">
        <v>81.636799999999994</v>
      </c>
      <c r="AU61" s="25">
        <v>732.34580000000005</v>
      </c>
      <c r="AV61">
        <f t="shared" si="0"/>
        <v>100</v>
      </c>
    </row>
    <row r="62" spans="1:48" ht="16.5" x14ac:dyDescent="0.3">
      <c r="A62" s="22" t="s">
        <v>983</v>
      </c>
      <c r="B62" s="22" t="s">
        <v>984</v>
      </c>
      <c r="C62" s="22" t="s">
        <v>47</v>
      </c>
      <c r="D62" s="22" t="s">
        <v>958</v>
      </c>
      <c r="E62" s="22" t="s">
        <v>959</v>
      </c>
      <c r="F62" s="22" t="s">
        <v>958</v>
      </c>
      <c r="G62" s="22" t="s">
        <v>959</v>
      </c>
      <c r="H62" s="22" t="s">
        <v>962</v>
      </c>
      <c r="I62" s="22" t="s">
        <v>963</v>
      </c>
      <c r="J62" s="23">
        <v>1</v>
      </c>
      <c r="K62" s="24">
        <v>4.45</v>
      </c>
      <c r="L62" s="25">
        <v>5.5278</v>
      </c>
      <c r="M62" s="26">
        <v>100</v>
      </c>
      <c r="N62" s="24">
        <v>99.82</v>
      </c>
      <c r="O62" s="24">
        <v>99.82</v>
      </c>
      <c r="P62" s="24">
        <v>99.82</v>
      </c>
      <c r="Q62" s="26">
        <v>0</v>
      </c>
      <c r="R62" s="24">
        <v>0.1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3">
        <v>0</v>
      </c>
      <c r="Y62" s="23">
        <v>0</v>
      </c>
      <c r="Z62" s="27">
        <v>0.32490000000000002</v>
      </c>
      <c r="AA62" s="27">
        <v>0.26079999999999998</v>
      </c>
      <c r="AB62" s="27">
        <v>9.69E-2</v>
      </c>
      <c r="AC62" s="27">
        <v>1E-4</v>
      </c>
      <c r="AD62" s="24">
        <v>-7.17</v>
      </c>
      <c r="AE62" s="24">
        <v>-97.08</v>
      </c>
      <c r="AF62" s="24">
        <v>99.97</v>
      </c>
      <c r="AI62" s="23">
        <v>1</v>
      </c>
      <c r="AJ62" s="23">
        <v>0</v>
      </c>
      <c r="AK62" s="26">
        <v>465</v>
      </c>
      <c r="AL62" s="26">
        <v>0</v>
      </c>
      <c r="AM62" s="26">
        <v>0</v>
      </c>
      <c r="AN62" s="26">
        <v>0</v>
      </c>
      <c r="AO62" s="26">
        <v>12</v>
      </c>
      <c r="AP62" s="23">
        <v>1</v>
      </c>
      <c r="AQ62" s="27">
        <v>9.6500000000000002E-2</v>
      </c>
      <c r="AR62" s="26">
        <v>789501600</v>
      </c>
      <c r="AS62" s="25">
        <v>30.843399999999999</v>
      </c>
      <c r="AT62" s="25">
        <v>168.7587</v>
      </c>
      <c r="AU62" s="25">
        <v>1346.5376000000001</v>
      </c>
      <c r="AV62">
        <f t="shared" si="0"/>
        <v>100</v>
      </c>
    </row>
    <row r="63" spans="1:48" ht="16.5" x14ac:dyDescent="0.3">
      <c r="A63" s="22" t="s">
        <v>983</v>
      </c>
      <c r="B63" s="22" t="s">
        <v>984</v>
      </c>
      <c r="C63" s="22" t="s">
        <v>47</v>
      </c>
      <c r="D63" s="22" t="s">
        <v>958</v>
      </c>
      <c r="E63" s="22" t="s">
        <v>959</v>
      </c>
      <c r="F63" s="22" t="s">
        <v>958</v>
      </c>
      <c r="G63" s="22" t="s">
        <v>959</v>
      </c>
      <c r="H63" s="22" t="s">
        <v>964</v>
      </c>
      <c r="I63" s="22" t="s">
        <v>965</v>
      </c>
      <c r="J63" s="23">
        <v>1</v>
      </c>
      <c r="K63" s="24">
        <v>0.96</v>
      </c>
      <c r="L63" s="25">
        <v>3.2092999999999998</v>
      </c>
      <c r="M63" s="26">
        <v>100</v>
      </c>
      <c r="N63" s="24">
        <v>99.57</v>
      </c>
      <c r="O63" s="24">
        <v>99.58</v>
      </c>
      <c r="P63" s="24">
        <v>99.58</v>
      </c>
      <c r="Q63" s="26">
        <v>0</v>
      </c>
      <c r="R63" s="24">
        <v>0.15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3">
        <v>0</v>
      </c>
      <c r="Y63" s="23">
        <v>0</v>
      </c>
      <c r="Z63" s="27">
        <v>0.25430000000000003</v>
      </c>
      <c r="AA63" s="27">
        <v>7.5499999999999998E-2</v>
      </c>
      <c r="AB63" s="27">
        <v>7.6399999999999996E-2</v>
      </c>
      <c r="AC63" s="27">
        <v>1E-4</v>
      </c>
      <c r="AD63" s="24">
        <v>-7.6</v>
      </c>
      <c r="AE63" s="24">
        <v>-101.23</v>
      </c>
      <c r="AF63" s="24">
        <v>99.86</v>
      </c>
      <c r="AI63" s="23">
        <v>1</v>
      </c>
      <c r="AJ63" s="27">
        <v>6.1000000000000004E-3</v>
      </c>
      <c r="AK63" s="26">
        <v>308</v>
      </c>
      <c r="AL63" s="26">
        <v>0</v>
      </c>
      <c r="AM63" s="26">
        <v>0</v>
      </c>
      <c r="AN63" s="26">
        <v>0</v>
      </c>
      <c r="AO63" s="26">
        <v>18</v>
      </c>
      <c r="AP63" s="23">
        <v>1</v>
      </c>
      <c r="AQ63" s="27">
        <v>3.0300000000000001E-2</v>
      </c>
      <c r="AR63" s="26">
        <v>789501600</v>
      </c>
      <c r="AS63" s="25">
        <v>29.715</v>
      </c>
      <c r="AT63" s="25">
        <v>150.63489999999999</v>
      </c>
      <c r="AU63" s="25">
        <v>752.20540000000005</v>
      </c>
      <c r="AV63">
        <f t="shared" si="0"/>
        <v>100</v>
      </c>
    </row>
    <row r="64" spans="1:48" ht="16.5" x14ac:dyDescent="0.3">
      <c r="A64" s="22" t="s">
        <v>983</v>
      </c>
      <c r="B64" s="22" t="s">
        <v>984</v>
      </c>
      <c r="C64" s="22" t="s">
        <v>47</v>
      </c>
      <c r="D64" s="22" t="s">
        <v>958</v>
      </c>
      <c r="E64" s="22" t="s">
        <v>959</v>
      </c>
      <c r="F64" s="22" t="s">
        <v>958</v>
      </c>
      <c r="G64" s="22" t="s">
        <v>959</v>
      </c>
      <c r="H64" s="22" t="s">
        <v>966</v>
      </c>
      <c r="I64" s="22" t="s">
        <v>967</v>
      </c>
      <c r="J64" s="23">
        <v>1</v>
      </c>
      <c r="K64" s="24">
        <v>3.45</v>
      </c>
      <c r="L64" s="25">
        <v>2.1951999999999998</v>
      </c>
      <c r="M64" s="26">
        <v>100</v>
      </c>
      <c r="N64" s="24">
        <v>99.4</v>
      </c>
      <c r="O64" s="24">
        <v>99.4</v>
      </c>
      <c r="P64" s="24">
        <v>99.39</v>
      </c>
      <c r="Q64" s="26">
        <v>0</v>
      </c>
      <c r="R64" s="24">
        <v>0.16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3">
        <v>0</v>
      </c>
      <c r="Y64" s="23">
        <v>0</v>
      </c>
      <c r="Z64" s="27">
        <v>0.1479</v>
      </c>
      <c r="AA64" s="27">
        <v>7.3200000000000001E-2</v>
      </c>
      <c r="AB64" s="27">
        <v>0.1014</v>
      </c>
      <c r="AC64" s="27">
        <v>5.9999999999999995E-4</v>
      </c>
      <c r="AD64" s="24">
        <v>-4.41</v>
      </c>
      <c r="AE64" s="26">
        <v>-97</v>
      </c>
      <c r="AF64" s="24">
        <v>99.94</v>
      </c>
      <c r="AG64" s="26">
        <v>100</v>
      </c>
      <c r="AI64" s="23">
        <v>1</v>
      </c>
      <c r="AJ64" s="23">
        <v>0</v>
      </c>
      <c r="AK64" s="26">
        <v>120</v>
      </c>
      <c r="AL64" s="26">
        <v>0</v>
      </c>
      <c r="AM64" s="26">
        <v>0</v>
      </c>
      <c r="AN64" s="26">
        <v>0</v>
      </c>
      <c r="AO64" s="26">
        <v>42</v>
      </c>
      <c r="AP64" s="27">
        <v>0.99990000000000001</v>
      </c>
      <c r="AQ64" s="27">
        <v>2.5700000000000001E-2</v>
      </c>
      <c r="AR64" s="26">
        <v>789501600</v>
      </c>
      <c r="AS64" s="25">
        <v>21.8567</v>
      </c>
      <c r="AT64" s="25">
        <v>79.804000000000002</v>
      </c>
      <c r="AU64" s="25">
        <v>534.06859999999995</v>
      </c>
      <c r="AV64">
        <f t="shared" si="0"/>
        <v>100</v>
      </c>
    </row>
    <row r="65" spans="1:48" ht="16.5" x14ac:dyDescent="0.3">
      <c r="A65" s="22" t="s">
        <v>983</v>
      </c>
      <c r="B65" s="22" t="s">
        <v>984</v>
      </c>
      <c r="C65" s="22" t="s">
        <v>47</v>
      </c>
      <c r="D65" s="22" t="s">
        <v>958</v>
      </c>
      <c r="E65" s="22" t="s">
        <v>959</v>
      </c>
      <c r="F65" s="22" t="s">
        <v>958</v>
      </c>
      <c r="G65" s="22" t="s">
        <v>959</v>
      </c>
      <c r="H65" s="22" t="s">
        <v>968</v>
      </c>
      <c r="I65" s="22" t="s">
        <v>969</v>
      </c>
      <c r="J65" s="23">
        <v>1</v>
      </c>
      <c r="K65" s="24">
        <v>3.82</v>
      </c>
      <c r="L65" s="25">
        <v>1.0620000000000001</v>
      </c>
      <c r="M65" s="26">
        <v>100</v>
      </c>
      <c r="N65" s="24">
        <v>99.89</v>
      </c>
      <c r="O65" s="24">
        <v>99.9</v>
      </c>
      <c r="P65" s="24">
        <v>99.9</v>
      </c>
      <c r="Q65" s="26">
        <v>0</v>
      </c>
      <c r="R65" s="24">
        <v>0.2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3">
        <v>0</v>
      </c>
      <c r="Y65" s="23">
        <v>0</v>
      </c>
      <c r="Z65" s="27">
        <v>0.1087</v>
      </c>
      <c r="AA65" s="27">
        <v>4.3900000000000002E-2</v>
      </c>
      <c r="AB65" s="27">
        <v>9.8000000000000004E-2</v>
      </c>
      <c r="AC65" s="27">
        <v>1E-4</v>
      </c>
      <c r="AD65" s="24">
        <v>-4.32</v>
      </c>
      <c r="AE65" s="24">
        <v>-101.29</v>
      </c>
      <c r="AF65" s="24">
        <v>99.86</v>
      </c>
      <c r="AG65" s="26">
        <v>100</v>
      </c>
      <c r="AI65" s="27">
        <v>0.96179999999999999</v>
      </c>
      <c r="AJ65" s="27">
        <v>2.0000000000000001E-4</v>
      </c>
      <c r="AK65" s="26">
        <v>123</v>
      </c>
      <c r="AL65" s="26">
        <v>0</v>
      </c>
      <c r="AM65" s="26">
        <v>0</v>
      </c>
      <c r="AN65" s="26">
        <v>0</v>
      </c>
      <c r="AO65" s="26">
        <v>5</v>
      </c>
      <c r="AP65" s="23">
        <v>1</v>
      </c>
      <c r="AQ65" s="27">
        <v>1.5299999999999999E-2</v>
      </c>
      <c r="AR65" s="26">
        <v>789501600</v>
      </c>
      <c r="AS65" s="25">
        <v>12.0801</v>
      </c>
      <c r="AT65" s="25">
        <v>67.479299999999995</v>
      </c>
      <c r="AU65" s="25">
        <v>233.6893</v>
      </c>
      <c r="AV65">
        <f t="shared" si="0"/>
        <v>100</v>
      </c>
    </row>
    <row r="66" spans="1:48" ht="16.5" x14ac:dyDescent="0.3">
      <c r="A66" s="22" t="s">
        <v>984</v>
      </c>
      <c r="B66" s="22" t="s">
        <v>985</v>
      </c>
      <c r="C66" s="22" t="s">
        <v>47</v>
      </c>
      <c r="D66" s="22" t="s">
        <v>958</v>
      </c>
      <c r="E66" s="22" t="s">
        <v>959</v>
      </c>
      <c r="F66" s="22" t="s">
        <v>958</v>
      </c>
      <c r="G66" s="22" t="s">
        <v>959</v>
      </c>
      <c r="H66" s="22" t="s">
        <v>962</v>
      </c>
      <c r="I66" s="22" t="s">
        <v>963</v>
      </c>
      <c r="J66" s="23">
        <v>1</v>
      </c>
      <c r="K66" s="24">
        <v>3.23</v>
      </c>
      <c r="L66" s="25">
        <v>7.3362999999999996</v>
      </c>
      <c r="M66" s="26">
        <v>100</v>
      </c>
      <c r="N66" s="24">
        <v>99.99</v>
      </c>
      <c r="O66" s="24">
        <v>99.99</v>
      </c>
      <c r="P66" s="24">
        <v>99.99</v>
      </c>
      <c r="Q66" s="24">
        <v>0.76</v>
      </c>
      <c r="R66" s="24">
        <v>0.01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3">
        <v>0</v>
      </c>
      <c r="Y66" s="23">
        <v>0</v>
      </c>
      <c r="Z66" s="27">
        <v>0.2959</v>
      </c>
      <c r="AA66" s="27">
        <v>0.18140000000000001</v>
      </c>
      <c r="AB66" s="27">
        <v>7.2099999999999997E-2</v>
      </c>
      <c r="AC66" s="27">
        <v>1E-4</v>
      </c>
      <c r="AD66" s="24">
        <v>-6.56</v>
      </c>
      <c r="AE66" s="24">
        <v>-97.47</v>
      </c>
      <c r="AF66" s="24">
        <v>99.98</v>
      </c>
      <c r="AI66" s="23">
        <v>1</v>
      </c>
      <c r="AJ66" s="23">
        <v>0</v>
      </c>
      <c r="AK66" s="26">
        <v>428</v>
      </c>
      <c r="AL66" s="26">
        <v>0</v>
      </c>
      <c r="AM66" s="26">
        <v>0</v>
      </c>
      <c r="AN66" s="26">
        <v>0</v>
      </c>
      <c r="AO66" s="26">
        <v>4</v>
      </c>
      <c r="AP66" s="23">
        <v>1</v>
      </c>
      <c r="AQ66" s="27">
        <v>6.4399999999999999E-2</v>
      </c>
      <c r="AR66" s="26">
        <v>789501600</v>
      </c>
      <c r="AS66" s="25">
        <v>21.236599999999999</v>
      </c>
      <c r="AT66" s="25">
        <v>165.88980000000001</v>
      </c>
      <c r="AU66" s="25">
        <v>1881.6449</v>
      </c>
      <c r="AV66">
        <f t="shared" si="0"/>
        <v>100</v>
      </c>
    </row>
    <row r="67" spans="1:48" ht="16.5" x14ac:dyDescent="0.3">
      <c r="A67" s="22" t="s">
        <v>984</v>
      </c>
      <c r="B67" s="22" t="s">
        <v>985</v>
      </c>
      <c r="C67" s="22" t="s">
        <v>47</v>
      </c>
      <c r="D67" s="22" t="s">
        <v>958</v>
      </c>
      <c r="E67" s="22" t="s">
        <v>959</v>
      </c>
      <c r="F67" s="22" t="s">
        <v>958</v>
      </c>
      <c r="G67" s="22" t="s">
        <v>959</v>
      </c>
      <c r="H67" s="22" t="s">
        <v>964</v>
      </c>
      <c r="I67" s="22" t="s">
        <v>965</v>
      </c>
      <c r="J67" s="23">
        <v>1</v>
      </c>
      <c r="K67" s="24">
        <v>1.03</v>
      </c>
      <c r="L67" s="25">
        <v>2.2467000000000001</v>
      </c>
      <c r="M67" s="26">
        <v>100</v>
      </c>
      <c r="N67" s="24">
        <v>99.78</v>
      </c>
      <c r="O67" s="24">
        <v>99.77</v>
      </c>
      <c r="P67" s="24">
        <v>99.77</v>
      </c>
      <c r="Q67" s="26">
        <v>0</v>
      </c>
      <c r="R67" s="24">
        <v>0.19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3">
        <v>0</v>
      </c>
      <c r="Y67" s="23">
        <v>0</v>
      </c>
      <c r="Z67" s="27">
        <v>0.2135</v>
      </c>
      <c r="AA67" s="27">
        <v>7.2099999999999997E-2</v>
      </c>
      <c r="AB67" s="27">
        <v>5.5399999999999998E-2</v>
      </c>
      <c r="AC67" s="27">
        <v>4.0000000000000002E-4</v>
      </c>
      <c r="AD67" s="24">
        <v>-6.75</v>
      </c>
      <c r="AE67" s="24">
        <v>-101.78</v>
      </c>
      <c r="AF67" s="24">
        <v>99.87</v>
      </c>
      <c r="AG67" s="26">
        <v>100</v>
      </c>
      <c r="AI67" s="23">
        <v>1</v>
      </c>
      <c r="AJ67" s="27">
        <v>1E-4</v>
      </c>
      <c r="AK67" s="26">
        <v>324</v>
      </c>
      <c r="AL67" s="26">
        <v>0</v>
      </c>
      <c r="AM67" s="26">
        <v>0</v>
      </c>
      <c r="AN67" s="26">
        <v>0</v>
      </c>
      <c r="AO67" s="26">
        <v>14</v>
      </c>
      <c r="AP67" s="23">
        <v>1</v>
      </c>
      <c r="AQ67" s="27">
        <v>3.0300000000000001E-2</v>
      </c>
      <c r="AR67" s="26">
        <v>789501600</v>
      </c>
      <c r="AS67" s="25">
        <v>23.3</v>
      </c>
      <c r="AT67" s="25">
        <v>97.652900000000002</v>
      </c>
      <c r="AU67" s="25">
        <v>518.19290000000001</v>
      </c>
      <c r="AV67">
        <f t="shared" ref="AV67:AV130" si="1">J67*100</f>
        <v>100</v>
      </c>
    </row>
    <row r="68" spans="1:48" ht="16.5" x14ac:dyDescent="0.3">
      <c r="A68" s="22" t="s">
        <v>984</v>
      </c>
      <c r="B68" s="22" t="s">
        <v>985</v>
      </c>
      <c r="C68" s="22" t="s">
        <v>47</v>
      </c>
      <c r="D68" s="22" t="s">
        <v>958</v>
      </c>
      <c r="E68" s="22" t="s">
        <v>959</v>
      </c>
      <c r="F68" s="22" t="s">
        <v>958</v>
      </c>
      <c r="G68" s="22" t="s">
        <v>959</v>
      </c>
      <c r="H68" s="22" t="s">
        <v>966</v>
      </c>
      <c r="I68" s="22" t="s">
        <v>967</v>
      </c>
      <c r="J68" s="23">
        <v>1</v>
      </c>
      <c r="K68" s="24">
        <v>1.57</v>
      </c>
      <c r="L68" s="25">
        <v>0.96360000000000001</v>
      </c>
      <c r="M68" s="26">
        <v>100</v>
      </c>
      <c r="N68" s="24">
        <v>99.81</v>
      </c>
      <c r="O68" s="24">
        <v>99.81</v>
      </c>
      <c r="P68" s="24">
        <v>99.81</v>
      </c>
      <c r="Q68" s="26">
        <v>0</v>
      </c>
      <c r="R68" s="24">
        <v>0.17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3">
        <v>0</v>
      </c>
      <c r="Y68" s="23">
        <v>0</v>
      </c>
      <c r="Z68" s="27">
        <v>0.1019</v>
      </c>
      <c r="AA68" s="27">
        <v>5.1299999999999998E-2</v>
      </c>
      <c r="AB68" s="27">
        <v>7.5499999999999998E-2</v>
      </c>
      <c r="AC68" s="27">
        <v>5.9999999999999995E-4</v>
      </c>
      <c r="AD68" s="24">
        <v>-3.5</v>
      </c>
      <c r="AE68" s="24">
        <v>-97.39</v>
      </c>
      <c r="AF68" s="26">
        <v>100</v>
      </c>
      <c r="AG68" s="26">
        <v>100</v>
      </c>
      <c r="AI68" s="23">
        <v>1</v>
      </c>
      <c r="AJ68" s="23">
        <v>0</v>
      </c>
      <c r="AK68" s="26">
        <v>91</v>
      </c>
      <c r="AL68" s="26">
        <v>0</v>
      </c>
      <c r="AM68" s="26">
        <v>0</v>
      </c>
      <c r="AN68" s="26">
        <v>0</v>
      </c>
      <c r="AO68" s="26">
        <v>5</v>
      </c>
      <c r="AP68" s="27">
        <v>0.99990000000000001</v>
      </c>
      <c r="AQ68" s="27">
        <v>1.9199999999999998E-2</v>
      </c>
      <c r="AR68" s="26">
        <v>789501600</v>
      </c>
      <c r="AS68" s="25">
        <v>14.845000000000001</v>
      </c>
      <c r="AT68" s="25">
        <v>40.6678</v>
      </c>
      <c r="AU68" s="25">
        <v>219.65729999999999</v>
      </c>
      <c r="AV68">
        <f t="shared" si="1"/>
        <v>100</v>
      </c>
    </row>
    <row r="69" spans="1:48" ht="16.5" x14ac:dyDescent="0.3">
      <c r="A69" s="22" t="s">
        <v>984</v>
      </c>
      <c r="B69" s="22" t="s">
        <v>985</v>
      </c>
      <c r="C69" s="22" t="s">
        <v>47</v>
      </c>
      <c r="D69" s="22" t="s">
        <v>958</v>
      </c>
      <c r="E69" s="22" t="s">
        <v>959</v>
      </c>
      <c r="F69" s="22" t="s">
        <v>958</v>
      </c>
      <c r="G69" s="22" t="s">
        <v>959</v>
      </c>
      <c r="H69" s="22" t="s">
        <v>968</v>
      </c>
      <c r="I69" s="22" t="s">
        <v>969</v>
      </c>
      <c r="J69" s="23">
        <v>1</v>
      </c>
      <c r="K69" s="24">
        <v>0.98</v>
      </c>
      <c r="L69" s="25">
        <v>0.69220000000000004</v>
      </c>
      <c r="M69" s="26">
        <v>100</v>
      </c>
      <c r="N69" s="24">
        <v>99.91</v>
      </c>
      <c r="O69" s="24">
        <v>99.91</v>
      </c>
      <c r="P69" s="24">
        <v>99.91</v>
      </c>
      <c r="Q69" s="26">
        <v>0</v>
      </c>
      <c r="R69" s="24">
        <v>0.14000000000000001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3">
        <v>0</v>
      </c>
      <c r="Y69" s="23">
        <v>0</v>
      </c>
      <c r="Z69" s="27">
        <v>9.2200000000000004E-2</v>
      </c>
      <c r="AA69" s="27">
        <v>3.1899999999999998E-2</v>
      </c>
      <c r="AB69" s="27">
        <v>7.1499999999999994E-2</v>
      </c>
      <c r="AC69" s="27">
        <v>1E-4</v>
      </c>
      <c r="AD69" s="24">
        <v>-3.81</v>
      </c>
      <c r="AE69" s="24">
        <v>-101.45</v>
      </c>
      <c r="AF69" s="24">
        <v>99.96</v>
      </c>
      <c r="AG69" s="26">
        <v>100</v>
      </c>
      <c r="AI69" s="23">
        <v>1</v>
      </c>
      <c r="AJ69" s="27">
        <v>1E-4</v>
      </c>
      <c r="AK69" s="26">
        <v>116</v>
      </c>
      <c r="AL69" s="26">
        <v>0</v>
      </c>
      <c r="AM69" s="26">
        <v>0</v>
      </c>
      <c r="AN69" s="26">
        <v>0</v>
      </c>
      <c r="AO69" s="26">
        <v>5</v>
      </c>
      <c r="AP69" s="23">
        <v>1</v>
      </c>
      <c r="AQ69" s="27">
        <v>1.0800000000000001E-2</v>
      </c>
      <c r="AR69" s="26">
        <v>789501600</v>
      </c>
      <c r="AS69" s="25">
        <v>8.4232999999999993</v>
      </c>
      <c r="AT69" s="25">
        <v>31.0898</v>
      </c>
      <c r="AU69" s="25">
        <v>160.58109999999999</v>
      </c>
      <c r="AV69">
        <f t="shared" si="1"/>
        <v>100</v>
      </c>
    </row>
    <row r="70" spans="1:48" ht="16.5" x14ac:dyDescent="0.3">
      <c r="A70" s="22" t="s">
        <v>985</v>
      </c>
      <c r="B70" s="22" t="s">
        <v>986</v>
      </c>
      <c r="C70" s="22" t="s">
        <v>47</v>
      </c>
      <c r="D70" s="22" t="s">
        <v>958</v>
      </c>
      <c r="E70" s="22" t="s">
        <v>959</v>
      </c>
      <c r="F70" s="22" t="s">
        <v>958</v>
      </c>
      <c r="G70" s="22" t="s">
        <v>959</v>
      </c>
      <c r="H70" s="22" t="s">
        <v>962</v>
      </c>
      <c r="I70" s="22" t="s">
        <v>963</v>
      </c>
      <c r="J70" s="23">
        <v>1</v>
      </c>
      <c r="K70" s="24">
        <v>0.63</v>
      </c>
      <c r="L70" s="25">
        <v>2.9653</v>
      </c>
      <c r="M70" s="26">
        <v>100</v>
      </c>
      <c r="N70" s="24">
        <v>99.9</v>
      </c>
      <c r="O70" s="24">
        <v>99.9</v>
      </c>
      <c r="P70" s="24">
        <v>99.9</v>
      </c>
      <c r="Q70" s="26">
        <v>0</v>
      </c>
      <c r="R70" s="24">
        <v>0.28999999999999998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3">
        <v>0</v>
      </c>
      <c r="Y70" s="23">
        <v>0</v>
      </c>
      <c r="Z70" s="27">
        <v>0.1694</v>
      </c>
      <c r="AA70" s="27">
        <v>0.17269999999999999</v>
      </c>
      <c r="AB70" s="27">
        <v>6.7699999999999996E-2</v>
      </c>
      <c r="AC70" s="23">
        <v>0</v>
      </c>
      <c r="AD70" s="24">
        <v>-4.6500000000000004</v>
      </c>
      <c r="AE70" s="24">
        <v>-97.85</v>
      </c>
      <c r="AF70" s="24">
        <v>99.96</v>
      </c>
      <c r="AG70" s="26">
        <v>0</v>
      </c>
      <c r="AI70" s="23">
        <v>1</v>
      </c>
      <c r="AJ70" s="23">
        <v>0</v>
      </c>
      <c r="AK70" s="26">
        <v>368</v>
      </c>
      <c r="AL70" s="26">
        <v>0</v>
      </c>
      <c r="AM70" s="26">
        <v>0</v>
      </c>
      <c r="AN70" s="26">
        <v>0</v>
      </c>
      <c r="AO70" s="26">
        <v>21</v>
      </c>
      <c r="AP70" s="23">
        <v>1</v>
      </c>
      <c r="AQ70" s="27">
        <v>5.5500000000000001E-2</v>
      </c>
      <c r="AR70" s="26">
        <v>789501600</v>
      </c>
      <c r="AS70" s="25">
        <v>20.239999999999998</v>
      </c>
      <c r="AT70" s="25">
        <v>101.73990000000001</v>
      </c>
      <c r="AU70" s="25">
        <v>737.96389999999997</v>
      </c>
      <c r="AV70">
        <f t="shared" si="1"/>
        <v>100</v>
      </c>
    </row>
    <row r="71" spans="1:48" ht="16.5" x14ac:dyDescent="0.3">
      <c r="A71" s="22" t="s">
        <v>985</v>
      </c>
      <c r="B71" s="22" t="s">
        <v>986</v>
      </c>
      <c r="C71" s="22" t="s">
        <v>47</v>
      </c>
      <c r="D71" s="22" t="s">
        <v>958</v>
      </c>
      <c r="E71" s="22" t="s">
        <v>959</v>
      </c>
      <c r="F71" s="22" t="s">
        <v>958</v>
      </c>
      <c r="G71" s="22" t="s">
        <v>959</v>
      </c>
      <c r="H71" s="22" t="s">
        <v>964</v>
      </c>
      <c r="I71" s="22" t="s">
        <v>965</v>
      </c>
      <c r="J71" s="23">
        <v>1</v>
      </c>
      <c r="K71" s="24">
        <v>0.44</v>
      </c>
      <c r="L71" s="25">
        <v>1.9935</v>
      </c>
      <c r="M71" s="26">
        <v>100</v>
      </c>
      <c r="N71" s="24">
        <v>99.8</v>
      </c>
      <c r="O71" s="24">
        <v>99.8</v>
      </c>
      <c r="P71" s="24">
        <v>99.8</v>
      </c>
      <c r="Q71" s="26">
        <v>0</v>
      </c>
      <c r="R71" s="24">
        <v>0.14000000000000001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3">
        <v>0</v>
      </c>
      <c r="Y71" s="23">
        <v>0</v>
      </c>
      <c r="Z71" s="27">
        <v>0.1726</v>
      </c>
      <c r="AA71" s="27">
        <v>7.4800000000000005E-2</v>
      </c>
      <c r="AB71" s="27">
        <v>5.1900000000000002E-2</v>
      </c>
      <c r="AC71" s="27">
        <v>1.1999999999999999E-3</v>
      </c>
      <c r="AD71" s="24">
        <v>-6.1</v>
      </c>
      <c r="AE71" s="24">
        <v>-102.11</v>
      </c>
      <c r="AF71" s="24">
        <v>99.86</v>
      </c>
      <c r="AI71" s="23">
        <v>1</v>
      </c>
      <c r="AJ71" s="27">
        <v>8.0000000000000004E-4</v>
      </c>
      <c r="AK71" s="26">
        <v>398</v>
      </c>
      <c r="AL71" s="26">
        <v>0</v>
      </c>
      <c r="AM71" s="26">
        <v>0</v>
      </c>
      <c r="AN71" s="26">
        <v>0</v>
      </c>
      <c r="AO71" s="26">
        <v>33</v>
      </c>
      <c r="AP71" s="23">
        <v>1</v>
      </c>
      <c r="AQ71" s="27">
        <v>2.9399999999999999E-2</v>
      </c>
      <c r="AR71" s="26">
        <v>789501600</v>
      </c>
      <c r="AS71" s="25">
        <v>22.366599999999998</v>
      </c>
      <c r="AT71" s="25">
        <v>96.3005</v>
      </c>
      <c r="AU71" s="25">
        <v>457.83100000000002</v>
      </c>
      <c r="AV71">
        <f t="shared" si="1"/>
        <v>100</v>
      </c>
    </row>
    <row r="72" spans="1:48" ht="16.5" x14ac:dyDescent="0.3">
      <c r="A72" s="22" t="s">
        <v>985</v>
      </c>
      <c r="B72" s="22" t="s">
        <v>986</v>
      </c>
      <c r="C72" s="22" t="s">
        <v>47</v>
      </c>
      <c r="D72" s="22" t="s">
        <v>958</v>
      </c>
      <c r="E72" s="22" t="s">
        <v>959</v>
      </c>
      <c r="F72" s="22" t="s">
        <v>958</v>
      </c>
      <c r="G72" s="22" t="s">
        <v>959</v>
      </c>
      <c r="H72" s="22" t="s">
        <v>966</v>
      </c>
      <c r="I72" s="22" t="s">
        <v>967</v>
      </c>
      <c r="J72" s="23">
        <v>1</v>
      </c>
      <c r="K72" s="24">
        <v>0.52</v>
      </c>
      <c r="L72" s="25">
        <v>0.72160000000000002</v>
      </c>
      <c r="M72" s="26">
        <v>100</v>
      </c>
      <c r="N72" s="24">
        <v>99.94</v>
      </c>
      <c r="O72" s="24">
        <v>99.94</v>
      </c>
      <c r="P72" s="24">
        <v>99.94</v>
      </c>
      <c r="Q72" s="26">
        <v>0</v>
      </c>
      <c r="R72" s="24">
        <v>0.1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3">
        <v>0</v>
      </c>
      <c r="Y72" s="23">
        <v>0</v>
      </c>
      <c r="Z72" s="23">
        <v>0.09</v>
      </c>
      <c r="AA72" s="27">
        <v>4.7399999999999998E-2</v>
      </c>
      <c r="AB72" s="27">
        <v>7.0499999999999993E-2</v>
      </c>
      <c r="AC72" s="27">
        <v>8.0000000000000004E-4</v>
      </c>
      <c r="AD72" s="24">
        <v>-3.18</v>
      </c>
      <c r="AE72" s="24">
        <v>-97.56</v>
      </c>
      <c r="AF72" s="24">
        <v>99.95</v>
      </c>
      <c r="AG72" s="26">
        <v>100</v>
      </c>
      <c r="AI72" s="23">
        <v>1</v>
      </c>
      <c r="AJ72" s="23">
        <v>0</v>
      </c>
      <c r="AK72" s="26">
        <v>64</v>
      </c>
      <c r="AL72" s="26">
        <v>0</v>
      </c>
      <c r="AM72" s="26">
        <v>0</v>
      </c>
      <c r="AN72" s="26">
        <v>0</v>
      </c>
      <c r="AO72" s="26">
        <v>2</v>
      </c>
      <c r="AP72" s="27">
        <v>0.99990000000000001</v>
      </c>
      <c r="AQ72" s="27">
        <v>1.9199999999999998E-2</v>
      </c>
      <c r="AR72" s="26">
        <v>789501600</v>
      </c>
      <c r="AS72" s="25">
        <v>13.283300000000001</v>
      </c>
      <c r="AT72" s="25">
        <v>45.824399999999997</v>
      </c>
      <c r="AU72" s="25">
        <v>152.6507</v>
      </c>
      <c r="AV72">
        <f t="shared" si="1"/>
        <v>100</v>
      </c>
    </row>
    <row r="73" spans="1:48" ht="16.5" x14ac:dyDescent="0.3">
      <c r="A73" s="22" t="s">
        <v>985</v>
      </c>
      <c r="B73" s="22" t="s">
        <v>986</v>
      </c>
      <c r="C73" s="22" t="s">
        <v>47</v>
      </c>
      <c r="D73" s="22" t="s">
        <v>958</v>
      </c>
      <c r="E73" s="22" t="s">
        <v>959</v>
      </c>
      <c r="F73" s="22" t="s">
        <v>958</v>
      </c>
      <c r="G73" s="22" t="s">
        <v>959</v>
      </c>
      <c r="H73" s="22" t="s">
        <v>968</v>
      </c>
      <c r="I73" s="22" t="s">
        <v>969</v>
      </c>
      <c r="J73" s="23">
        <v>1</v>
      </c>
      <c r="K73" s="24">
        <v>0.04</v>
      </c>
      <c r="L73" s="25">
        <v>0.38969999999999999</v>
      </c>
      <c r="M73" s="26">
        <v>100</v>
      </c>
      <c r="N73" s="24">
        <v>99.8</v>
      </c>
      <c r="O73" s="24">
        <v>99.81</v>
      </c>
      <c r="P73" s="24">
        <v>99.81</v>
      </c>
      <c r="Q73" s="26">
        <v>0</v>
      </c>
      <c r="R73" s="24">
        <v>0.12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3">
        <v>0</v>
      </c>
      <c r="Y73" s="23">
        <v>0</v>
      </c>
      <c r="Z73" s="27">
        <v>7.8600000000000003E-2</v>
      </c>
      <c r="AA73" s="27">
        <v>3.4200000000000001E-2</v>
      </c>
      <c r="AB73" s="27">
        <v>6.59E-2</v>
      </c>
      <c r="AC73" s="27">
        <v>1E-4</v>
      </c>
      <c r="AD73" s="24">
        <v>-3.62</v>
      </c>
      <c r="AE73" s="24">
        <v>-101.56</v>
      </c>
      <c r="AF73" s="24">
        <v>99.91</v>
      </c>
      <c r="AG73" s="26">
        <v>100</v>
      </c>
      <c r="AI73" s="23">
        <v>1</v>
      </c>
      <c r="AJ73" s="23">
        <v>0</v>
      </c>
      <c r="AK73" s="26">
        <v>124</v>
      </c>
      <c r="AL73" s="26">
        <v>0</v>
      </c>
      <c r="AM73" s="26">
        <v>0</v>
      </c>
      <c r="AN73" s="26">
        <v>0</v>
      </c>
      <c r="AO73" s="26">
        <v>7</v>
      </c>
      <c r="AP73" s="23">
        <v>1</v>
      </c>
      <c r="AQ73" s="27">
        <v>1.2800000000000001E-2</v>
      </c>
      <c r="AR73" s="26">
        <v>789501600</v>
      </c>
      <c r="AS73" s="25">
        <v>8.1516000000000002</v>
      </c>
      <c r="AT73" s="25">
        <v>25.657299999999999</v>
      </c>
      <c r="AU73" s="25">
        <v>85.791799999999995</v>
      </c>
      <c r="AV73">
        <f t="shared" si="1"/>
        <v>100</v>
      </c>
    </row>
    <row r="74" spans="1:48" ht="16.5" x14ac:dyDescent="0.3">
      <c r="A74" s="22" t="s">
        <v>986</v>
      </c>
      <c r="B74" s="22" t="s">
        <v>987</v>
      </c>
      <c r="C74" s="22" t="s">
        <v>47</v>
      </c>
      <c r="D74" s="22" t="s">
        <v>958</v>
      </c>
      <c r="E74" s="22" t="s">
        <v>959</v>
      </c>
      <c r="F74" s="22" t="s">
        <v>958</v>
      </c>
      <c r="G74" s="22" t="s">
        <v>959</v>
      </c>
      <c r="H74" s="22" t="s">
        <v>962</v>
      </c>
      <c r="I74" s="22" t="s">
        <v>963</v>
      </c>
      <c r="J74" s="23">
        <v>1</v>
      </c>
      <c r="K74" s="24">
        <v>2.19</v>
      </c>
      <c r="L74" s="25">
        <v>1.9710000000000001</v>
      </c>
      <c r="M74" s="26">
        <v>100</v>
      </c>
      <c r="N74" s="24">
        <v>99.92</v>
      </c>
      <c r="O74" s="24">
        <v>99.91</v>
      </c>
      <c r="P74" s="24">
        <v>99.91</v>
      </c>
      <c r="Q74" s="26">
        <v>0</v>
      </c>
      <c r="R74" s="24">
        <v>0.06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3">
        <v>0</v>
      </c>
      <c r="Y74" s="23">
        <v>0</v>
      </c>
      <c r="Z74" s="27">
        <v>0.14360000000000001</v>
      </c>
      <c r="AA74" s="27">
        <v>0.18609999999999999</v>
      </c>
      <c r="AB74" s="27">
        <v>7.0099999999999996E-2</v>
      </c>
      <c r="AC74" s="27">
        <v>1E-4</v>
      </c>
      <c r="AD74" s="24">
        <v>-4.49</v>
      </c>
      <c r="AE74" s="24">
        <v>-97.82</v>
      </c>
      <c r="AF74" s="24">
        <v>99.97</v>
      </c>
      <c r="AI74" s="23">
        <v>1</v>
      </c>
      <c r="AJ74" s="23">
        <v>0</v>
      </c>
      <c r="AK74" s="26">
        <v>339</v>
      </c>
      <c r="AL74" s="26">
        <v>0</v>
      </c>
      <c r="AM74" s="26">
        <v>0</v>
      </c>
      <c r="AN74" s="26">
        <v>0</v>
      </c>
      <c r="AO74" s="26">
        <v>8</v>
      </c>
      <c r="AP74" s="23">
        <v>1</v>
      </c>
      <c r="AQ74" s="27">
        <v>6.7699999999999996E-2</v>
      </c>
      <c r="AR74" s="26">
        <v>789501600</v>
      </c>
      <c r="AS74" s="25">
        <v>21.125</v>
      </c>
      <c r="AT74" s="25">
        <v>91.884900000000002</v>
      </c>
      <c r="AU74" s="25">
        <v>461.0489</v>
      </c>
      <c r="AV74">
        <f t="shared" si="1"/>
        <v>100</v>
      </c>
    </row>
    <row r="75" spans="1:48" ht="16.5" x14ac:dyDescent="0.3">
      <c r="A75" s="22" t="s">
        <v>986</v>
      </c>
      <c r="B75" s="22" t="s">
        <v>987</v>
      </c>
      <c r="C75" s="22" t="s">
        <v>47</v>
      </c>
      <c r="D75" s="22" t="s">
        <v>958</v>
      </c>
      <c r="E75" s="22" t="s">
        <v>959</v>
      </c>
      <c r="F75" s="22" t="s">
        <v>958</v>
      </c>
      <c r="G75" s="22" t="s">
        <v>959</v>
      </c>
      <c r="H75" s="22" t="s">
        <v>964</v>
      </c>
      <c r="I75" s="22" t="s">
        <v>965</v>
      </c>
      <c r="J75" s="23">
        <v>1</v>
      </c>
      <c r="K75" s="24">
        <v>0.67</v>
      </c>
      <c r="L75" s="25">
        <v>2.6827000000000001</v>
      </c>
      <c r="M75" s="26">
        <v>100</v>
      </c>
      <c r="N75" s="24">
        <v>99.8</v>
      </c>
      <c r="O75" s="24">
        <v>99.8</v>
      </c>
      <c r="P75" s="24">
        <v>99.8</v>
      </c>
      <c r="Q75" s="26">
        <v>0</v>
      </c>
      <c r="R75" s="24">
        <v>0.19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3">
        <v>0</v>
      </c>
      <c r="Y75" s="23">
        <v>0</v>
      </c>
      <c r="Z75" s="27">
        <v>0.22320000000000001</v>
      </c>
      <c r="AA75" s="27">
        <v>7.6200000000000004E-2</v>
      </c>
      <c r="AB75" s="27">
        <v>5.3400000000000003E-2</v>
      </c>
      <c r="AC75" s="27">
        <v>1.1000000000000001E-3</v>
      </c>
      <c r="AD75" s="24">
        <v>-6.55</v>
      </c>
      <c r="AE75" s="24">
        <v>-102.12</v>
      </c>
      <c r="AF75" s="24">
        <v>99.79</v>
      </c>
      <c r="AG75" s="26">
        <v>100</v>
      </c>
      <c r="AI75" s="23">
        <v>1</v>
      </c>
      <c r="AJ75" s="23">
        <v>0</v>
      </c>
      <c r="AK75" s="26">
        <v>330</v>
      </c>
      <c r="AL75" s="26">
        <v>0</v>
      </c>
      <c r="AM75" s="26">
        <v>0</v>
      </c>
      <c r="AN75" s="26">
        <v>0</v>
      </c>
      <c r="AO75" s="26">
        <v>13</v>
      </c>
      <c r="AP75" s="23">
        <v>1</v>
      </c>
      <c r="AQ75" s="27">
        <v>2.98E-2</v>
      </c>
      <c r="AR75" s="26">
        <v>789501600</v>
      </c>
      <c r="AS75" s="25">
        <v>23.0884</v>
      </c>
      <c r="AT75" s="25">
        <v>97.340100000000007</v>
      </c>
      <c r="AU75" s="25">
        <v>655.98270000000002</v>
      </c>
      <c r="AV75">
        <f t="shared" si="1"/>
        <v>100</v>
      </c>
    </row>
    <row r="76" spans="1:48" ht="16.5" x14ac:dyDescent="0.3">
      <c r="A76" s="22" t="s">
        <v>986</v>
      </c>
      <c r="B76" s="22" t="s">
        <v>987</v>
      </c>
      <c r="C76" s="22" t="s">
        <v>47</v>
      </c>
      <c r="D76" s="22" t="s">
        <v>958</v>
      </c>
      <c r="E76" s="22" t="s">
        <v>959</v>
      </c>
      <c r="F76" s="22" t="s">
        <v>958</v>
      </c>
      <c r="G76" s="22" t="s">
        <v>959</v>
      </c>
      <c r="H76" s="22" t="s">
        <v>966</v>
      </c>
      <c r="I76" s="22" t="s">
        <v>967</v>
      </c>
      <c r="J76" s="23">
        <v>1</v>
      </c>
      <c r="K76" s="24">
        <v>1.17</v>
      </c>
      <c r="L76" s="25">
        <v>1.0537000000000001</v>
      </c>
      <c r="M76" s="26">
        <v>100</v>
      </c>
      <c r="N76" s="24">
        <v>99.91</v>
      </c>
      <c r="O76" s="24">
        <v>99.88</v>
      </c>
      <c r="P76" s="24">
        <v>99.88</v>
      </c>
      <c r="Q76" s="26">
        <v>0</v>
      </c>
      <c r="R76" s="24">
        <v>0.06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3">
        <v>0</v>
      </c>
      <c r="Y76" s="23">
        <v>0</v>
      </c>
      <c r="Z76" s="27">
        <v>9.35E-2</v>
      </c>
      <c r="AA76" s="27">
        <v>4.9299999999999997E-2</v>
      </c>
      <c r="AB76" s="27">
        <v>7.2700000000000001E-2</v>
      </c>
      <c r="AC76" s="27">
        <v>1E-4</v>
      </c>
      <c r="AD76" s="24">
        <v>-3.2</v>
      </c>
      <c r="AE76" s="24">
        <v>-97.34</v>
      </c>
      <c r="AF76" s="24">
        <v>99.94</v>
      </c>
      <c r="AI76" s="23">
        <v>1</v>
      </c>
      <c r="AJ76" s="23">
        <v>0</v>
      </c>
      <c r="AK76" s="26">
        <v>123</v>
      </c>
      <c r="AL76" s="26">
        <v>0</v>
      </c>
      <c r="AM76" s="26">
        <v>0</v>
      </c>
      <c r="AN76" s="26">
        <v>0</v>
      </c>
      <c r="AO76" s="26">
        <v>5</v>
      </c>
      <c r="AP76" s="27">
        <v>0.99990000000000001</v>
      </c>
      <c r="AQ76" s="27">
        <v>1.6500000000000001E-2</v>
      </c>
      <c r="AR76" s="26">
        <v>789501600</v>
      </c>
      <c r="AS76" s="25">
        <v>13.75</v>
      </c>
      <c r="AT76" s="25">
        <v>139.0624</v>
      </c>
      <c r="AU76" s="25">
        <v>158.9648</v>
      </c>
      <c r="AV76">
        <f t="shared" si="1"/>
        <v>100</v>
      </c>
    </row>
    <row r="77" spans="1:48" ht="16.5" x14ac:dyDescent="0.3">
      <c r="A77" s="22" t="s">
        <v>986</v>
      </c>
      <c r="B77" s="22" t="s">
        <v>987</v>
      </c>
      <c r="C77" s="22" t="s">
        <v>47</v>
      </c>
      <c r="D77" s="22" t="s">
        <v>958</v>
      </c>
      <c r="E77" s="22" t="s">
        <v>959</v>
      </c>
      <c r="F77" s="22" t="s">
        <v>958</v>
      </c>
      <c r="G77" s="22" t="s">
        <v>959</v>
      </c>
      <c r="H77" s="22" t="s">
        <v>968</v>
      </c>
      <c r="I77" s="22" t="s">
        <v>969</v>
      </c>
      <c r="J77" s="23">
        <v>1</v>
      </c>
      <c r="K77" s="24">
        <v>0.26</v>
      </c>
      <c r="L77" s="25">
        <v>0.49509999999999998</v>
      </c>
      <c r="M77" s="26">
        <v>100</v>
      </c>
      <c r="N77" s="24">
        <v>99.9</v>
      </c>
      <c r="O77" s="24">
        <v>99.91</v>
      </c>
      <c r="P77" s="24">
        <v>99.91</v>
      </c>
      <c r="Q77" s="26">
        <v>0</v>
      </c>
      <c r="R77" s="24">
        <v>0.14000000000000001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3">
        <v>0</v>
      </c>
      <c r="Y77" s="23">
        <v>0</v>
      </c>
      <c r="Z77" s="27">
        <v>8.5400000000000004E-2</v>
      </c>
      <c r="AA77" s="27">
        <v>3.5400000000000001E-2</v>
      </c>
      <c r="AB77" s="27">
        <v>6.8400000000000002E-2</v>
      </c>
      <c r="AC77" s="27">
        <v>1E-4</v>
      </c>
      <c r="AD77" s="24">
        <v>-3.71</v>
      </c>
      <c r="AE77" s="24">
        <v>-101.54</v>
      </c>
      <c r="AF77" s="24">
        <v>99.94</v>
      </c>
      <c r="AI77" s="23">
        <v>1</v>
      </c>
      <c r="AJ77" s="23">
        <v>0</v>
      </c>
      <c r="AK77" s="26">
        <v>69</v>
      </c>
      <c r="AL77" s="26">
        <v>0</v>
      </c>
      <c r="AM77" s="26">
        <v>0</v>
      </c>
      <c r="AN77" s="26">
        <v>0</v>
      </c>
      <c r="AO77" s="26">
        <v>7</v>
      </c>
      <c r="AP77" s="23">
        <v>1</v>
      </c>
      <c r="AQ77" s="27">
        <v>1.1900000000000001E-2</v>
      </c>
      <c r="AR77" s="26">
        <v>789501600</v>
      </c>
      <c r="AS77" s="25">
        <v>9.3666999999999998</v>
      </c>
      <c r="AT77" s="25">
        <v>29.305700000000002</v>
      </c>
      <c r="AU77" s="25">
        <v>109.97539999999999</v>
      </c>
      <c r="AV77">
        <f t="shared" si="1"/>
        <v>100</v>
      </c>
    </row>
    <row r="78" spans="1:48" ht="16.5" x14ac:dyDescent="0.3">
      <c r="A78" s="22" t="s">
        <v>987</v>
      </c>
      <c r="B78" s="22" t="s">
        <v>988</v>
      </c>
      <c r="C78" s="22" t="s">
        <v>47</v>
      </c>
      <c r="D78" s="22" t="s">
        <v>958</v>
      </c>
      <c r="E78" s="22" t="s">
        <v>959</v>
      </c>
      <c r="F78" s="22" t="s">
        <v>958</v>
      </c>
      <c r="G78" s="22" t="s">
        <v>959</v>
      </c>
      <c r="H78" s="22" t="s">
        <v>962</v>
      </c>
      <c r="I78" s="22" t="s">
        <v>963</v>
      </c>
      <c r="J78" s="23">
        <v>1</v>
      </c>
      <c r="K78" s="24">
        <v>3.44</v>
      </c>
      <c r="L78" s="25">
        <v>2.7265000000000001</v>
      </c>
      <c r="M78" s="26">
        <v>100</v>
      </c>
      <c r="N78" s="24">
        <v>99.92</v>
      </c>
      <c r="O78" s="24">
        <v>99.91</v>
      </c>
      <c r="P78" s="24">
        <v>99.91</v>
      </c>
      <c r="Q78" s="26">
        <v>0</v>
      </c>
      <c r="R78" s="24">
        <v>0.05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3">
        <v>0</v>
      </c>
      <c r="Y78" s="23">
        <v>0</v>
      </c>
      <c r="Z78" s="27">
        <v>0.1983</v>
      </c>
      <c r="AA78" s="27">
        <v>0.22309999999999999</v>
      </c>
      <c r="AB78" s="27">
        <v>8.7099999999999997E-2</v>
      </c>
      <c r="AC78" s="27">
        <v>1E-4</v>
      </c>
      <c r="AD78" s="24">
        <v>-5.76</v>
      </c>
      <c r="AE78" s="24">
        <v>-97.21</v>
      </c>
      <c r="AF78" s="24">
        <v>99.95</v>
      </c>
      <c r="AG78" s="26">
        <v>100</v>
      </c>
      <c r="AI78" s="23">
        <v>1</v>
      </c>
      <c r="AJ78" s="23">
        <v>0</v>
      </c>
      <c r="AK78" s="26">
        <v>370</v>
      </c>
      <c r="AL78" s="26">
        <v>0</v>
      </c>
      <c r="AM78" s="26">
        <v>0</v>
      </c>
      <c r="AN78" s="26">
        <v>0</v>
      </c>
      <c r="AO78" s="26">
        <v>18</v>
      </c>
      <c r="AP78" s="23">
        <v>1</v>
      </c>
      <c r="AQ78" s="27">
        <v>8.1500000000000003E-2</v>
      </c>
      <c r="AR78" s="26">
        <v>789501600</v>
      </c>
      <c r="AS78" s="25">
        <v>27.58</v>
      </c>
      <c r="AT78" s="25">
        <v>162.9614</v>
      </c>
      <c r="AU78" s="25">
        <v>614.83989999999994</v>
      </c>
      <c r="AV78">
        <f t="shared" si="1"/>
        <v>100</v>
      </c>
    </row>
    <row r="79" spans="1:48" ht="16.5" x14ac:dyDescent="0.3">
      <c r="A79" s="22" t="s">
        <v>987</v>
      </c>
      <c r="B79" s="22" t="s">
        <v>988</v>
      </c>
      <c r="C79" s="22" t="s">
        <v>47</v>
      </c>
      <c r="D79" s="22" t="s">
        <v>958</v>
      </c>
      <c r="E79" s="22" t="s">
        <v>959</v>
      </c>
      <c r="F79" s="22" t="s">
        <v>958</v>
      </c>
      <c r="G79" s="22" t="s">
        <v>959</v>
      </c>
      <c r="H79" s="22" t="s">
        <v>964</v>
      </c>
      <c r="I79" s="22" t="s">
        <v>965</v>
      </c>
      <c r="J79" s="23">
        <v>1</v>
      </c>
      <c r="K79" s="24">
        <v>1.71</v>
      </c>
      <c r="L79" s="25">
        <v>1.9192</v>
      </c>
      <c r="M79" s="26">
        <v>100</v>
      </c>
      <c r="N79" s="24">
        <v>99.75</v>
      </c>
      <c r="O79" s="24">
        <v>99.75</v>
      </c>
      <c r="P79" s="24">
        <v>99.75</v>
      </c>
      <c r="Q79" s="26">
        <v>0</v>
      </c>
      <c r="R79" s="24">
        <v>0.18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3">
        <v>0</v>
      </c>
      <c r="Y79" s="23">
        <v>0</v>
      </c>
      <c r="Z79" s="27">
        <v>0.19189999999999999</v>
      </c>
      <c r="AA79" s="27">
        <v>7.8399999999999997E-2</v>
      </c>
      <c r="AB79" s="27">
        <v>6.3399999999999998E-2</v>
      </c>
      <c r="AC79" s="27">
        <v>3.0999999999999999E-3</v>
      </c>
      <c r="AD79" s="24">
        <v>-7.03</v>
      </c>
      <c r="AE79" s="24">
        <v>-101.94</v>
      </c>
      <c r="AF79" s="24">
        <v>99.83</v>
      </c>
      <c r="AG79" s="26">
        <v>100</v>
      </c>
      <c r="AI79" s="23">
        <v>1</v>
      </c>
      <c r="AJ79" s="27">
        <v>3.3999999999999998E-3</v>
      </c>
      <c r="AK79" s="26">
        <v>453</v>
      </c>
      <c r="AL79" s="26">
        <v>0</v>
      </c>
      <c r="AM79" s="26">
        <v>0</v>
      </c>
      <c r="AN79" s="26">
        <v>0</v>
      </c>
      <c r="AO79" s="26">
        <v>23</v>
      </c>
      <c r="AP79" s="23">
        <v>1</v>
      </c>
      <c r="AQ79" s="27">
        <v>3.3000000000000002E-2</v>
      </c>
      <c r="AR79" s="26">
        <v>789501600</v>
      </c>
      <c r="AS79" s="25">
        <v>25.26</v>
      </c>
      <c r="AT79" s="25">
        <v>120.34569999999999</v>
      </c>
      <c r="AU79" s="25">
        <v>423.37150000000003</v>
      </c>
      <c r="AV79">
        <f t="shared" si="1"/>
        <v>100</v>
      </c>
    </row>
    <row r="80" spans="1:48" ht="16.5" x14ac:dyDescent="0.3">
      <c r="A80" s="22" t="s">
        <v>987</v>
      </c>
      <c r="B80" s="22" t="s">
        <v>988</v>
      </c>
      <c r="C80" s="22" t="s">
        <v>47</v>
      </c>
      <c r="D80" s="22" t="s">
        <v>958</v>
      </c>
      <c r="E80" s="22" t="s">
        <v>959</v>
      </c>
      <c r="F80" s="22" t="s">
        <v>958</v>
      </c>
      <c r="G80" s="22" t="s">
        <v>959</v>
      </c>
      <c r="H80" s="22" t="s">
        <v>966</v>
      </c>
      <c r="I80" s="22" t="s">
        <v>967</v>
      </c>
      <c r="J80" s="23">
        <v>1</v>
      </c>
      <c r="K80" s="24">
        <v>4.2</v>
      </c>
      <c r="L80" s="25">
        <v>1.5642</v>
      </c>
      <c r="M80" s="24">
        <v>99.73</v>
      </c>
      <c r="N80" s="24">
        <v>99.87</v>
      </c>
      <c r="O80" s="24">
        <v>99.87</v>
      </c>
      <c r="P80" s="24">
        <v>99.87</v>
      </c>
      <c r="Q80" s="24">
        <v>0.28999999999999998</v>
      </c>
      <c r="R80" s="24">
        <v>0.06</v>
      </c>
      <c r="S80" s="26">
        <v>0</v>
      </c>
      <c r="T80" s="26">
        <v>0</v>
      </c>
      <c r="U80" s="26">
        <v>0</v>
      </c>
      <c r="V80" s="26">
        <v>0</v>
      </c>
      <c r="W80" s="26">
        <v>0</v>
      </c>
      <c r="X80" s="23">
        <v>0</v>
      </c>
      <c r="Y80" s="27">
        <v>1E-4</v>
      </c>
      <c r="Z80" s="27">
        <v>0.13109999999999999</v>
      </c>
      <c r="AA80" s="27">
        <v>5.8400000000000001E-2</v>
      </c>
      <c r="AB80" s="27">
        <v>9.1499999999999998E-2</v>
      </c>
      <c r="AC80" s="27">
        <v>8.9999999999999998E-4</v>
      </c>
      <c r="AD80" s="24">
        <v>-4.29</v>
      </c>
      <c r="AE80" s="24">
        <v>-97.12</v>
      </c>
      <c r="AF80" s="24">
        <v>99.95</v>
      </c>
      <c r="AI80" s="27">
        <v>0.99950000000000006</v>
      </c>
      <c r="AJ80" s="27">
        <v>5.9999999999999995E-4</v>
      </c>
      <c r="AK80" s="26">
        <v>113</v>
      </c>
      <c r="AL80" s="26">
        <v>0</v>
      </c>
      <c r="AM80" s="26">
        <v>0</v>
      </c>
      <c r="AN80" s="26">
        <v>0</v>
      </c>
      <c r="AO80" s="26">
        <v>12</v>
      </c>
      <c r="AP80" s="27">
        <v>0.99980000000000002</v>
      </c>
      <c r="AQ80" s="27">
        <v>2.2499999999999999E-2</v>
      </c>
      <c r="AR80" s="26">
        <v>789501600</v>
      </c>
      <c r="AS80" s="25">
        <v>18.418299999999999</v>
      </c>
      <c r="AT80" s="25">
        <v>80.867999999999995</v>
      </c>
      <c r="AU80" s="25">
        <v>351.15010000000001</v>
      </c>
      <c r="AV80">
        <f t="shared" si="1"/>
        <v>100</v>
      </c>
    </row>
    <row r="81" spans="1:48" ht="16.5" x14ac:dyDescent="0.3">
      <c r="A81" s="22" t="s">
        <v>987</v>
      </c>
      <c r="B81" s="22" t="s">
        <v>988</v>
      </c>
      <c r="C81" s="22" t="s">
        <v>47</v>
      </c>
      <c r="D81" s="22" t="s">
        <v>958</v>
      </c>
      <c r="E81" s="22" t="s">
        <v>959</v>
      </c>
      <c r="F81" s="22" t="s">
        <v>958</v>
      </c>
      <c r="G81" s="22" t="s">
        <v>959</v>
      </c>
      <c r="H81" s="22" t="s">
        <v>968</v>
      </c>
      <c r="I81" s="22" t="s">
        <v>969</v>
      </c>
      <c r="J81" s="23">
        <v>1</v>
      </c>
      <c r="K81" s="24">
        <v>0.56000000000000005</v>
      </c>
      <c r="L81" s="25">
        <v>1.3889</v>
      </c>
      <c r="M81" s="26">
        <v>100</v>
      </c>
      <c r="N81" s="24">
        <v>99.98</v>
      </c>
      <c r="O81" s="24">
        <v>99.98</v>
      </c>
      <c r="P81" s="24">
        <v>99.98</v>
      </c>
      <c r="Q81" s="26">
        <v>0</v>
      </c>
      <c r="R81" s="24">
        <v>0.06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3">
        <v>0</v>
      </c>
      <c r="Y81" s="23">
        <v>0</v>
      </c>
      <c r="Z81" s="27">
        <v>0.113</v>
      </c>
      <c r="AA81" s="27">
        <v>4.2000000000000003E-2</v>
      </c>
      <c r="AB81" s="27">
        <v>8.5699999999999998E-2</v>
      </c>
      <c r="AC81" s="23">
        <v>0</v>
      </c>
      <c r="AD81" s="24">
        <v>-4.2</v>
      </c>
      <c r="AE81" s="24">
        <v>-101.27</v>
      </c>
      <c r="AF81" s="24">
        <v>99.98</v>
      </c>
      <c r="AI81" s="23">
        <v>1</v>
      </c>
      <c r="AJ81" s="27">
        <v>1E-3</v>
      </c>
      <c r="AK81" s="26">
        <v>60</v>
      </c>
      <c r="AL81" s="26">
        <v>0</v>
      </c>
      <c r="AM81" s="26">
        <v>0</v>
      </c>
      <c r="AN81" s="26">
        <v>0</v>
      </c>
      <c r="AO81" s="26">
        <v>6</v>
      </c>
      <c r="AP81" s="23">
        <v>1</v>
      </c>
      <c r="AQ81" s="27">
        <v>1.41E-2</v>
      </c>
      <c r="AR81" s="26">
        <v>789501600</v>
      </c>
      <c r="AS81" s="25">
        <v>12.966699999999999</v>
      </c>
      <c r="AT81" s="25">
        <v>98.669200000000004</v>
      </c>
      <c r="AU81" s="25">
        <v>282.69499999999999</v>
      </c>
      <c r="AV81">
        <f t="shared" si="1"/>
        <v>100</v>
      </c>
    </row>
    <row r="82" spans="1:48" ht="16.5" x14ac:dyDescent="0.3">
      <c r="A82" s="22" t="s">
        <v>988</v>
      </c>
      <c r="B82" s="22" t="s">
        <v>989</v>
      </c>
      <c r="C82" s="22" t="s">
        <v>47</v>
      </c>
      <c r="D82" s="22" t="s">
        <v>958</v>
      </c>
      <c r="E82" s="22" t="s">
        <v>959</v>
      </c>
      <c r="F82" s="22" t="s">
        <v>958</v>
      </c>
      <c r="G82" s="22" t="s">
        <v>959</v>
      </c>
      <c r="H82" s="22" t="s">
        <v>962</v>
      </c>
      <c r="I82" s="22" t="s">
        <v>963</v>
      </c>
      <c r="J82" s="23">
        <v>1</v>
      </c>
      <c r="K82" s="24">
        <v>13.61</v>
      </c>
      <c r="L82" s="25">
        <v>4.0110000000000001</v>
      </c>
      <c r="M82" s="26">
        <v>100</v>
      </c>
      <c r="N82" s="24">
        <v>99.94</v>
      </c>
      <c r="O82" s="24">
        <v>99.92</v>
      </c>
      <c r="P82" s="24">
        <v>99.92</v>
      </c>
      <c r="Q82" s="26">
        <v>0</v>
      </c>
      <c r="R82" s="24">
        <v>0.05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3">
        <v>0</v>
      </c>
      <c r="Y82" s="23">
        <v>0</v>
      </c>
      <c r="Z82" s="27">
        <v>0.31440000000000001</v>
      </c>
      <c r="AA82" s="27">
        <v>0.32429999999999998</v>
      </c>
      <c r="AB82" s="27">
        <v>0.14319999999999999</v>
      </c>
      <c r="AC82" s="27">
        <v>2.0000000000000001E-4</v>
      </c>
      <c r="AD82" s="24">
        <v>-7.7</v>
      </c>
      <c r="AE82" s="24">
        <v>-96.55</v>
      </c>
      <c r="AF82" s="24">
        <v>99.96</v>
      </c>
      <c r="AG82" s="26">
        <v>100</v>
      </c>
      <c r="AI82" s="23">
        <v>1</v>
      </c>
      <c r="AJ82" s="23">
        <v>0</v>
      </c>
      <c r="AK82" s="26">
        <v>372</v>
      </c>
      <c r="AL82" s="26">
        <v>0</v>
      </c>
      <c r="AM82" s="26">
        <v>0</v>
      </c>
      <c r="AN82" s="26">
        <v>0</v>
      </c>
      <c r="AO82" s="26">
        <v>15</v>
      </c>
      <c r="AP82" s="23">
        <v>1</v>
      </c>
      <c r="AQ82" s="27">
        <v>0.11459999999999999</v>
      </c>
      <c r="AR82" s="26">
        <v>789501600</v>
      </c>
      <c r="AS82" s="25">
        <v>44.271700000000003</v>
      </c>
      <c r="AT82" s="25">
        <v>250.75970000000001</v>
      </c>
      <c r="AU82" s="25">
        <v>857.80650000000003</v>
      </c>
      <c r="AV82">
        <f t="shared" si="1"/>
        <v>100</v>
      </c>
    </row>
    <row r="83" spans="1:48" ht="16.5" x14ac:dyDescent="0.3">
      <c r="A83" s="22" t="s">
        <v>988</v>
      </c>
      <c r="B83" s="22" t="s">
        <v>989</v>
      </c>
      <c r="C83" s="22" t="s">
        <v>47</v>
      </c>
      <c r="D83" s="22" t="s">
        <v>958</v>
      </c>
      <c r="E83" s="22" t="s">
        <v>959</v>
      </c>
      <c r="F83" s="22" t="s">
        <v>958</v>
      </c>
      <c r="G83" s="22" t="s">
        <v>959</v>
      </c>
      <c r="H83" s="22" t="s">
        <v>964</v>
      </c>
      <c r="I83" s="22" t="s">
        <v>965</v>
      </c>
      <c r="J83" s="23">
        <v>1</v>
      </c>
      <c r="K83" s="24">
        <v>11.63</v>
      </c>
      <c r="L83" s="25">
        <v>3.2222</v>
      </c>
      <c r="M83" s="26">
        <v>100</v>
      </c>
      <c r="N83" s="24">
        <v>99.82</v>
      </c>
      <c r="O83" s="24">
        <v>99.83</v>
      </c>
      <c r="P83" s="24">
        <v>99.82</v>
      </c>
      <c r="Q83" s="24">
        <v>0.51</v>
      </c>
      <c r="R83" s="24">
        <v>0.36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3">
        <v>0</v>
      </c>
      <c r="Y83" s="23">
        <v>0</v>
      </c>
      <c r="Z83" s="27">
        <v>0.31869999999999998</v>
      </c>
      <c r="AA83" s="27">
        <v>9.3299999999999994E-2</v>
      </c>
      <c r="AB83" s="27">
        <v>9.9199999999999997E-2</v>
      </c>
      <c r="AC83" s="27">
        <v>1E-3</v>
      </c>
      <c r="AD83" s="24">
        <v>-8.4499999999999993</v>
      </c>
      <c r="AE83" s="24">
        <v>-100.5</v>
      </c>
      <c r="AF83" s="24">
        <v>99.81</v>
      </c>
      <c r="AG83" s="26">
        <v>80</v>
      </c>
      <c r="AH83" s="26">
        <v>0</v>
      </c>
      <c r="AI83" s="23">
        <v>1</v>
      </c>
      <c r="AJ83" s="27">
        <v>5.5999999999999999E-3</v>
      </c>
      <c r="AK83" s="26">
        <v>541</v>
      </c>
      <c r="AL83" s="26">
        <v>0</v>
      </c>
      <c r="AM83" s="26">
        <v>0</v>
      </c>
      <c r="AN83" s="26">
        <v>0</v>
      </c>
      <c r="AO83" s="26">
        <v>26</v>
      </c>
      <c r="AP83" s="23">
        <v>1</v>
      </c>
      <c r="AQ83" s="27">
        <v>3.9100000000000003E-2</v>
      </c>
      <c r="AR83" s="26">
        <v>789501600</v>
      </c>
      <c r="AS83" s="25">
        <v>34.604999999999997</v>
      </c>
      <c r="AT83" s="25">
        <v>144.05889999999999</v>
      </c>
      <c r="AU83" s="25">
        <v>743.30349999999999</v>
      </c>
      <c r="AV83">
        <f t="shared" si="1"/>
        <v>100</v>
      </c>
    </row>
    <row r="84" spans="1:48" ht="16.5" x14ac:dyDescent="0.3">
      <c r="A84" s="22" t="s">
        <v>988</v>
      </c>
      <c r="B84" s="22" t="s">
        <v>989</v>
      </c>
      <c r="C84" s="22" t="s">
        <v>47</v>
      </c>
      <c r="D84" s="22" t="s">
        <v>958</v>
      </c>
      <c r="E84" s="22" t="s">
        <v>959</v>
      </c>
      <c r="F84" s="22" t="s">
        <v>958</v>
      </c>
      <c r="G84" s="22" t="s">
        <v>959</v>
      </c>
      <c r="H84" s="22" t="s">
        <v>966</v>
      </c>
      <c r="I84" s="22" t="s">
        <v>967</v>
      </c>
      <c r="J84" s="23">
        <v>1</v>
      </c>
      <c r="K84" s="24">
        <v>17.02</v>
      </c>
      <c r="L84" s="25">
        <v>3.0063</v>
      </c>
      <c r="M84" s="24">
        <v>99.91</v>
      </c>
      <c r="N84" s="24">
        <v>99.79</v>
      </c>
      <c r="O84" s="24">
        <v>99.79</v>
      </c>
      <c r="P84" s="24">
        <v>99.79</v>
      </c>
      <c r="Q84" s="26">
        <v>0</v>
      </c>
      <c r="R84" s="24">
        <v>0.11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3">
        <v>0</v>
      </c>
      <c r="Y84" s="27">
        <v>4.0000000000000002E-4</v>
      </c>
      <c r="Z84" s="27">
        <v>0.2344</v>
      </c>
      <c r="AA84" s="27">
        <v>8.0100000000000005E-2</v>
      </c>
      <c r="AB84" s="27">
        <v>0.1484</v>
      </c>
      <c r="AC84" s="27">
        <v>5.0000000000000001E-4</v>
      </c>
      <c r="AD84" s="24">
        <v>-6.38</v>
      </c>
      <c r="AE84" s="24">
        <v>-96.08</v>
      </c>
      <c r="AF84" s="24">
        <v>99.93</v>
      </c>
      <c r="AG84" s="26">
        <v>100</v>
      </c>
      <c r="AH84" s="26">
        <v>0</v>
      </c>
      <c r="AI84" s="27">
        <v>0.99980000000000002</v>
      </c>
      <c r="AJ84" s="27">
        <v>5.0000000000000001E-4</v>
      </c>
      <c r="AK84" s="26">
        <v>99</v>
      </c>
      <c r="AL84" s="26">
        <v>0</v>
      </c>
      <c r="AM84" s="26">
        <v>0</v>
      </c>
      <c r="AN84" s="26">
        <v>0</v>
      </c>
      <c r="AO84" s="26">
        <v>18</v>
      </c>
      <c r="AP84" s="27">
        <v>0.99980000000000002</v>
      </c>
      <c r="AQ84" s="27">
        <v>2.93E-2</v>
      </c>
      <c r="AR84" s="26">
        <v>789501600</v>
      </c>
      <c r="AS84" s="25">
        <v>30.030100000000001</v>
      </c>
      <c r="AT84" s="25">
        <v>140.73230000000001</v>
      </c>
      <c r="AU84" s="25">
        <v>679.49950000000001</v>
      </c>
      <c r="AV84">
        <f t="shared" si="1"/>
        <v>100</v>
      </c>
    </row>
    <row r="85" spans="1:48" ht="16.5" x14ac:dyDescent="0.3">
      <c r="A85" s="22" t="s">
        <v>988</v>
      </c>
      <c r="B85" s="22" t="s">
        <v>989</v>
      </c>
      <c r="C85" s="22" t="s">
        <v>47</v>
      </c>
      <c r="D85" s="22" t="s">
        <v>958</v>
      </c>
      <c r="E85" s="22" t="s">
        <v>959</v>
      </c>
      <c r="F85" s="22" t="s">
        <v>958</v>
      </c>
      <c r="G85" s="22" t="s">
        <v>959</v>
      </c>
      <c r="H85" s="22" t="s">
        <v>968</v>
      </c>
      <c r="I85" s="22" t="s">
        <v>969</v>
      </c>
      <c r="J85" s="23">
        <v>1</v>
      </c>
      <c r="K85" s="24">
        <v>5.51</v>
      </c>
      <c r="L85" s="25">
        <v>1.8826000000000001</v>
      </c>
      <c r="M85" s="24">
        <v>99.75</v>
      </c>
      <c r="N85" s="24">
        <v>99.85</v>
      </c>
      <c r="O85" s="24">
        <v>99.85</v>
      </c>
      <c r="P85" s="24">
        <v>99.85</v>
      </c>
      <c r="Q85" s="26">
        <v>0</v>
      </c>
      <c r="R85" s="24">
        <v>0.06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3">
        <v>0</v>
      </c>
      <c r="Y85" s="23">
        <v>0</v>
      </c>
      <c r="Z85" s="27">
        <v>0.16250000000000001</v>
      </c>
      <c r="AA85" s="27">
        <v>5.1900000000000002E-2</v>
      </c>
      <c r="AB85" s="27">
        <v>0.14019999999999999</v>
      </c>
      <c r="AC85" s="27">
        <v>2.9999999999999997E-4</v>
      </c>
      <c r="AD85" s="24">
        <v>-5.3</v>
      </c>
      <c r="AE85" s="24">
        <v>-100.83</v>
      </c>
      <c r="AF85" s="24">
        <v>99.92</v>
      </c>
      <c r="AG85" s="26">
        <v>80</v>
      </c>
      <c r="AI85" s="27">
        <v>0.99970000000000003</v>
      </c>
      <c r="AJ85" s="27">
        <v>1.1999999999999999E-3</v>
      </c>
      <c r="AK85" s="26">
        <v>66</v>
      </c>
      <c r="AL85" s="26">
        <v>0</v>
      </c>
      <c r="AM85" s="26">
        <v>0</v>
      </c>
      <c r="AN85" s="26">
        <v>0</v>
      </c>
      <c r="AO85" s="26">
        <v>22</v>
      </c>
      <c r="AP85" s="23">
        <v>1</v>
      </c>
      <c r="AQ85" s="27">
        <v>1.8499999999999999E-2</v>
      </c>
      <c r="AR85" s="26">
        <v>789501600</v>
      </c>
      <c r="AS85" s="25">
        <v>16.989999999999998</v>
      </c>
      <c r="AT85" s="25">
        <v>83.605800000000002</v>
      </c>
      <c r="AU85" s="25">
        <v>444.00069999999999</v>
      </c>
      <c r="AV85">
        <f t="shared" si="1"/>
        <v>100</v>
      </c>
    </row>
    <row r="86" spans="1:48" ht="16.5" x14ac:dyDescent="0.3">
      <c r="A86" s="22" t="s">
        <v>989</v>
      </c>
      <c r="B86" s="22" t="s">
        <v>990</v>
      </c>
      <c r="C86" s="22" t="s">
        <v>47</v>
      </c>
      <c r="D86" s="22" t="s">
        <v>958</v>
      </c>
      <c r="E86" s="22" t="s">
        <v>959</v>
      </c>
      <c r="F86" s="22" t="s">
        <v>958</v>
      </c>
      <c r="G86" s="22" t="s">
        <v>959</v>
      </c>
      <c r="H86" s="22" t="s">
        <v>962</v>
      </c>
      <c r="I86" s="22" t="s">
        <v>963</v>
      </c>
      <c r="J86" s="23">
        <v>1</v>
      </c>
      <c r="K86" s="24">
        <v>37.32</v>
      </c>
      <c r="L86" s="25">
        <v>6.0900999999999996</v>
      </c>
      <c r="M86" s="24">
        <v>99.83</v>
      </c>
      <c r="N86" s="24">
        <v>99.89</v>
      </c>
      <c r="O86" s="24">
        <v>99.88</v>
      </c>
      <c r="P86" s="24">
        <v>99.88</v>
      </c>
      <c r="Q86" s="24">
        <v>0.05</v>
      </c>
      <c r="R86" s="24">
        <v>0.16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3">
        <v>0</v>
      </c>
      <c r="Y86" s="23">
        <v>0</v>
      </c>
      <c r="Z86" s="27">
        <v>0.51060000000000005</v>
      </c>
      <c r="AA86" s="27">
        <v>0.3856</v>
      </c>
      <c r="AB86" s="27">
        <v>0.2006</v>
      </c>
      <c r="AC86" s="27">
        <v>4.0000000000000002E-4</v>
      </c>
      <c r="AD86" s="24">
        <v>-9.64</v>
      </c>
      <c r="AE86" s="24">
        <v>-95.24</v>
      </c>
      <c r="AF86" s="24">
        <v>99.94</v>
      </c>
      <c r="AG86" s="24">
        <v>85.71</v>
      </c>
      <c r="AH86" s="26">
        <v>100</v>
      </c>
      <c r="AI86" s="27">
        <v>0.99990000000000001</v>
      </c>
      <c r="AJ86" s="27">
        <v>1E-4</v>
      </c>
      <c r="AK86" s="26">
        <v>319</v>
      </c>
      <c r="AL86" s="26">
        <v>0</v>
      </c>
      <c r="AM86" s="26">
        <v>0</v>
      </c>
      <c r="AN86" s="26">
        <v>0</v>
      </c>
      <c r="AO86" s="26">
        <v>40</v>
      </c>
      <c r="AP86" s="23">
        <v>1</v>
      </c>
      <c r="AQ86" s="27">
        <v>0.14979999999999999</v>
      </c>
      <c r="AR86" s="26">
        <v>789501600</v>
      </c>
      <c r="AS86" s="25">
        <v>63.478299999999997</v>
      </c>
      <c r="AT86" s="25">
        <v>289.6925</v>
      </c>
      <c r="AU86" s="25">
        <v>1382.3507</v>
      </c>
      <c r="AV86">
        <f t="shared" si="1"/>
        <v>100</v>
      </c>
    </row>
    <row r="87" spans="1:48" ht="16.5" x14ac:dyDescent="0.3">
      <c r="A87" s="22" t="s">
        <v>989</v>
      </c>
      <c r="B87" s="22" t="s">
        <v>990</v>
      </c>
      <c r="C87" s="22" t="s">
        <v>47</v>
      </c>
      <c r="D87" s="22" t="s">
        <v>958</v>
      </c>
      <c r="E87" s="22" t="s">
        <v>959</v>
      </c>
      <c r="F87" s="22" t="s">
        <v>958</v>
      </c>
      <c r="G87" s="22" t="s">
        <v>959</v>
      </c>
      <c r="H87" s="22" t="s">
        <v>964</v>
      </c>
      <c r="I87" s="22" t="s">
        <v>965</v>
      </c>
      <c r="J87" s="23">
        <v>1</v>
      </c>
      <c r="K87" s="24">
        <v>20.16</v>
      </c>
      <c r="L87" s="25">
        <v>4.3322000000000003</v>
      </c>
      <c r="M87" s="24">
        <v>99.71</v>
      </c>
      <c r="N87" s="24">
        <v>99.86</v>
      </c>
      <c r="O87" s="24">
        <v>99.83</v>
      </c>
      <c r="P87" s="24">
        <v>99.83</v>
      </c>
      <c r="Q87" s="24">
        <v>0.1</v>
      </c>
      <c r="R87" s="24">
        <v>0.51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3">
        <v>0</v>
      </c>
      <c r="Y87" s="27">
        <v>1E-4</v>
      </c>
      <c r="Z87" s="27">
        <v>0.43380000000000002</v>
      </c>
      <c r="AA87" s="27">
        <v>9.3200000000000005E-2</v>
      </c>
      <c r="AB87" s="27">
        <v>0.1429</v>
      </c>
      <c r="AC87" s="27">
        <v>4.0000000000000002E-4</v>
      </c>
      <c r="AD87" s="24">
        <v>-9.84</v>
      </c>
      <c r="AE87" s="24">
        <v>-98.9</v>
      </c>
      <c r="AF87" s="24">
        <v>99.86</v>
      </c>
      <c r="AG87" s="24">
        <v>95.45</v>
      </c>
      <c r="AH87" s="24">
        <v>83.33</v>
      </c>
      <c r="AI87" s="27">
        <v>0.99909999999999999</v>
      </c>
      <c r="AJ87" s="27">
        <v>4.1000000000000003E-3</v>
      </c>
      <c r="AK87" s="26">
        <v>354</v>
      </c>
      <c r="AL87" s="26">
        <v>0</v>
      </c>
      <c r="AM87" s="26">
        <v>0</v>
      </c>
      <c r="AN87" s="26">
        <v>0</v>
      </c>
      <c r="AO87" s="26">
        <v>26</v>
      </c>
      <c r="AP87" s="23">
        <v>1</v>
      </c>
      <c r="AQ87" s="27">
        <v>4.6800000000000001E-2</v>
      </c>
      <c r="AR87" s="26">
        <v>789501600</v>
      </c>
      <c r="AS87" s="25">
        <v>41.673400000000001</v>
      </c>
      <c r="AT87" s="25">
        <v>298.3544</v>
      </c>
      <c r="AU87" s="25">
        <v>918.1</v>
      </c>
      <c r="AV87">
        <f t="shared" si="1"/>
        <v>100</v>
      </c>
    </row>
    <row r="88" spans="1:48" ht="16.5" x14ac:dyDescent="0.3">
      <c r="A88" s="22" t="s">
        <v>989</v>
      </c>
      <c r="B88" s="22" t="s">
        <v>990</v>
      </c>
      <c r="C88" s="22" t="s">
        <v>47</v>
      </c>
      <c r="D88" s="22" t="s">
        <v>958</v>
      </c>
      <c r="E88" s="22" t="s">
        <v>959</v>
      </c>
      <c r="F88" s="22" t="s">
        <v>958</v>
      </c>
      <c r="G88" s="22" t="s">
        <v>959</v>
      </c>
      <c r="H88" s="22" t="s">
        <v>966</v>
      </c>
      <c r="I88" s="22" t="s">
        <v>967</v>
      </c>
      <c r="J88" s="23">
        <v>0.86</v>
      </c>
      <c r="K88" s="24">
        <v>28.7</v>
      </c>
      <c r="L88" s="25">
        <v>3.5356999999999998</v>
      </c>
      <c r="M88" s="24">
        <v>99.94</v>
      </c>
      <c r="N88" s="24">
        <v>99.79</v>
      </c>
      <c r="O88" s="24">
        <v>99.78</v>
      </c>
      <c r="P88" s="24">
        <v>99.78</v>
      </c>
      <c r="Q88" s="24">
        <v>0.26</v>
      </c>
      <c r="R88" s="24">
        <v>0.26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3">
        <v>0</v>
      </c>
      <c r="Y88" s="27">
        <v>2.0000000000000001E-4</v>
      </c>
      <c r="Z88" s="27">
        <v>0.33400000000000002</v>
      </c>
      <c r="AA88" s="27">
        <v>9.5899999999999999E-2</v>
      </c>
      <c r="AB88" s="27">
        <v>0.18890000000000001</v>
      </c>
      <c r="AC88" s="27">
        <v>8.9999999999999998E-4</v>
      </c>
      <c r="AD88" s="24">
        <v>-7.66</v>
      </c>
      <c r="AE88" s="24">
        <v>-94.13</v>
      </c>
      <c r="AF88" s="24">
        <v>99.94</v>
      </c>
      <c r="AG88" s="26">
        <v>75</v>
      </c>
      <c r="AH88" s="26">
        <v>100</v>
      </c>
      <c r="AI88" s="23">
        <v>1</v>
      </c>
      <c r="AJ88" s="27">
        <v>2.3E-3</v>
      </c>
      <c r="AK88" s="26">
        <v>135</v>
      </c>
      <c r="AL88" s="26">
        <v>0</v>
      </c>
      <c r="AM88" s="26">
        <v>0</v>
      </c>
      <c r="AN88" s="26">
        <v>0</v>
      </c>
      <c r="AO88" s="26">
        <v>31</v>
      </c>
      <c r="AP88" s="23">
        <v>1</v>
      </c>
      <c r="AQ88" s="27">
        <v>3.6299999999999999E-2</v>
      </c>
      <c r="AR88" s="26">
        <v>789504624</v>
      </c>
      <c r="AS88" s="25">
        <v>38.375100000000003</v>
      </c>
      <c r="AT88" s="25">
        <v>174.8058</v>
      </c>
      <c r="AU88" s="25">
        <v>804.25360000000001</v>
      </c>
      <c r="AV88">
        <f t="shared" si="1"/>
        <v>86</v>
      </c>
    </row>
    <row r="89" spans="1:48" ht="16.5" x14ac:dyDescent="0.3">
      <c r="A89" s="22" t="s">
        <v>989</v>
      </c>
      <c r="B89" s="22" t="s">
        <v>990</v>
      </c>
      <c r="C89" s="22" t="s">
        <v>47</v>
      </c>
      <c r="D89" s="22" t="s">
        <v>958</v>
      </c>
      <c r="E89" s="22" t="s">
        <v>959</v>
      </c>
      <c r="F89" s="22" t="s">
        <v>958</v>
      </c>
      <c r="G89" s="22" t="s">
        <v>959</v>
      </c>
      <c r="H89" s="22" t="s">
        <v>968</v>
      </c>
      <c r="I89" s="22" t="s">
        <v>969</v>
      </c>
      <c r="J89" s="23">
        <v>1</v>
      </c>
      <c r="K89" s="24">
        <v>14.12</v>
      </c>
      <c r="L89" s="25">
        <v>2.6387</v>
      </c>
      <c r="M89" s="24">
        <v>99.77</v>
      </c>
      <c r="N89" s="24">
        <v>99.88</v>
      </c>
      <c r="O89" s="24">
        <v>99.88</v>
      </c>
      <c r="P89" s="24">
        <v>99.89</v>
      </c>
      <c r="Q89" s="26">
        <v>0</v>
      </c>
      <c r="R89" s="24">
        <v>0.1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3">
        <v>0</v>
      </c>
      <c r="Y89" s="23">
        <v>0</v>
      </c>
      <c r="Z89" s="27">
        <v>0.2621</v>
      </c>
      <c r="AA89" s="27">
        <v>7.2499999999999995E-2</v>
      </c>
      <c r="AB89" s="27">
        <v>0.1966</v>
      </c>
      <c r="AC89" s="27">
        <v>4.0000000000000002E-4</v>
      </c>
      <c r="AD89" s="24">
        <v>-7.55</v>
      </c>
      <c r="AE89" s="24">
        <v>-99.46</v>
      </c>
      <c r="AF89" s="24">
        <v>99.97</v>
      </c>
      <c r="AG89" s="24">
        <v>88.89</v>
      </c>
      <c r="AH89" s="26">
        <v>100</v>
      </c>
      <c r="AI89" s="23">
        <v>1</v>
      </c>
      <c r="AJ89" s="27">
        <v>4.0000000000000002E-4</v>
      </c>
      <c r="AK89" s="26">
        <v>58</v>
      </c>
      <c r="AL89" s="26">
        <v>0</v>
      </c>
      <c r="AM89" s="26">
        <v>0</v>
      </c>
      <c r="AN89" s="26">
        <v>0</v>
      </c>
      <c r="AO89" s="26">
        <v>30</v>
      </c>
      <c r="AP89" s="23">
        <v>1</v>
      </c>
      <c r="AQ89" s="27">
        <v>2.6100000000000002E-2</v>
      </c>
      <c r="AR89" s="26">
        <v>789501600</v>
      </c>
      <c r="AS89" s="25">
        <v>28.17</v>
      </c>
      <c r="AT89" s="25">
        <v>150.41139999999999</v>
      </c>
      <c r="AU89" s="25">
        <v>590.03809999999999</v>
      </c>
      <c r="AV89">
        <f t="shared" si="1"/>
        <v>100</v>
      </c>
    </row>
    <row r="90" spans="1:48" ht="16.5" x14ac:dyDescent="0.3">
      <c r="A90" s="22" t="s">
        <v>990</v>
      </c>
      <c r="B90" s="22" t="s">
        <v>991</v>
      </c>
      <c r="C90" s="22" t="s">
        <v>47</v>
      </c>
      <c r="D90" s="22" t="s">
        <v>958</v>
      </c>
      <c r="E90" s="22" t="s">
        <v>959</v>
      </c>
      <c r="F90" s="22" t="s">
        <v>958</v>
      </c>
      <c r="G90" s="22" t="s">
        <v>959</v>
      </c>
      <c r="H90" s="22" t="s">
        <v>962</v>
      </c>
      <c r="I90" s="22" t="s">
        <v>963</v>
      </c>
      <c r="J90" s="23">
        <v>1</v>
      </c>
      <c r="K90" s="24">
        <v>42.22</v>
      </c>
      <c r="L90" s="25">
        <v>5.2393999999999998</v>
      </c>
      <c r="M90" s="24">
        <v>99.79</v>
      </c>
      <c r="N90" s="24">
        <v>99.9</v>
      </c>
      <c r="O90" s="24">
        <v>99.9</v>
      </c>
      <c r="P90" s="24">
        <v>99.9</v>
      </c>
      <c r="Q90" s="26">
        <v>0</v>
      </c>
      <c r="R90" s="24">
        <v>0.09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3">
        <v>0</v>
      </c>
      <c r="Y90" s="23">
        <v>0</v>
      </c>
      <c r="Z90" s="27">
        <v>0.52859999999999996</v>
      </c>
      <c r="AA90" s="27">
        <v>0.40960000000000002</v>
      </c>
      <c r="AB90" s="27">
        <v>0.23069999999999999</v>
      </c>
      <c r="AC90" s="27">
        <v>5.0000000000000001E-4</v>
      </c>
      <c r="AD90" s="24">
        <v>-9.9600000000000009</v>
      </c>
      <c r="AE90" s="24">
        <v>-94.19</v>
      </c>
      <c r="AF90" s="24">
        <v>99.95</v>
      </c>
      <c r="AG90" s="26">
        <v>100</v>
      </c>
      <c r="AH90" s="26">
        <v>100</v>
      </c>
      <c r="AI90" s="27">
        <v>0.99990000000000001</v>
      </c>
      <c r="AJ90" s="27">
        <v>2.0000000000000001E-4</v>
      </c>
      <c r="AK90" s="26">
        <v>266</v>
      </c>
      <c r="AL90" s="26">
        <v>0</v>
      </c>
      <c r="AM90" s="26">
        <v>0</v>
      </c>
      <c r="AN90" s="26">
        <v>0</v>
      </c>
      <c r="AO90" s="26">
        <v>23</v>
      </c>
      <c r="AP90" s="23">
        <v>1</v>
      </c>
      <c r="AQ90" s="27">
        <v>0.15970000000000001</v>
      </c>
      <c r="AR90" s="26">
        <v>789501600</v>
      </c>
      <c r="AS90" s="25">
        <v>68.454999999999998</v>
      </c>
      <c r="AT90" s="25">
        <v>282.79939999999999</v>
      </c>
      <c r="AU90" s="25">
        <v>1149.7184999999999</v>
      </c>
      <c r="AV90">
        <f t="shared" si="1"/>
        <v>100</v>
      </c>
    </row>
    <row r="91" spans="1:48" ht="16.5" x14ac:dyDescent="0.3">
      <c r="A91" s="22" t="s">
        <v>990</v>
      </c>
      <c r="B91" s="22" t="s">
        <v>991</v>
      </c>
      <c r="C91" s="22" t="s">
        <v>47</v>
      </c>
      <c r="D91" s="22" t="s">
        <v>958</v>
      </c>
      <c r="E91" s="22" t="s">
        <v>959</v>
      </c>
      <c r="F91" s="22" t="s">
        <v>958</v>
      </c>
      <c r="G91" s="22" t="s">
        <v>959</v>
      </c>
      <c r="H91" s="22" t="s">
        <v>964</v>
      </c>
      <c r="I91" s="22" t="s">
        <v>965</v>
      </c>
      <c r="J91" s="23">
        <v>1</v>
      </c>
      <c r="K91" s="24">
        <v>25.88</v>
      </c>
      <c r="L91" s="25">
        <v>3.5063</v>
      </c>
      <c r="M91" s="24">
        <v>99.55</v>
      </c>
      <c r="N91" s="24">
        <v>99.75</v>
      </c>
      <c r="O91" s="24">
        <v>99.75</v>
      </c>
      <c r="P91" s="24">
        <v>99.75</v>
      </c>
      <c r="Q91" s="24">
        <v>0.15</v>
      </c>
      <c r="R91" s="24">
        <v>0.32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3">
        <v>0</v>
      </c>
      <c r="Y91" s="23">
        <v>0</v>
      </c>
      <c r="Z91" s="27">
        <v>0.41349999999999998</v>
      </c>
      <c r="AA91" s="27">
        <v>0.1038</v>
      </c>
      <c r="AB91" s="27">
        <v>0.16489999999999999</v>
      </c>
      <c r="AC91" s="27">
        <v>8.0000000000000004E-4</v>
      </c>
      <c r="AD91" s="24">
        <v>-9.4600000000000009</v>
      </c>
      <c r="AE91" s="24">
        <v>-98.64</v>
      </c>
      <c r="AF91" s="24">
        <v>99.9</v>
      </c>
      <c r="AG91" s="24">
        <v>92.31</v>
      </c>
      <c r="AH91" s="24">
        <v>91.67</v>
      </c>
      <c r="AI91" s="23">
        <v>1</v>
      </c>
      <c r="AJ91" s="27">
        <v>6.4999999999999997E-3</v>
      </c>
      <c r="AK91" s="26">
        <v>326</v>
      </c>
      <c r="AL91" s="26">
        <v>0</v>
      </c>
      <c r="AM91" s="26">
        <v>0</v>
      </c>
      <c r="AN91" s="26">
        <v>0</v>
      </c>
      <c r="AO91" s="26">
        <v>46</v>
      </c>
      <c r="AP91" s="23">
        <v>1</v>
      </c>
      <c r="AQ91" s="27">
        <v>4.4400000000000002E-2</v>
      </c>
      <c r="AR91" s="26">
        <v>789501600</v>
      </c>
      <c r="AS91" s="25">
        <v>41.753300000000003</v>
      </c>
      <c r="AT91" s="25">
        <v>228.4554</v>
      </c>
      <c r="AU91" s="25">
        <v>759.13300000000004</v>
      </c>
      <c r="AV91">
        <f t="shared" si="1"/>
        <v>100</v>
      </c>
    </row>
    <row r="92" spans="1:48" ht="16.5" x14ac:dyDescent="0.3">
      <c r="A92" s="22" t="s">
        <v>990</v>
      </c>
      <c r="B92" s="22" t="s">
        <v>991</v>
      </c>
      <c r="C92" s="22" t="s">
        <v>47</v>
      </c>
      <c r="D92" s="22" t="s">
        <v>958</v>
      </c>
      <c r="E92" s="22" t="s">
        <v>959</v>
      </c>
      <c r="F92" s="22" t="s">
        <v>958</v>
      </c>
      <c r="G92" s="22" t="s">
        <v>959</v>
      </c>
      <c r="H92" s="22" t="s">
        <v>966</v>
      </c>
      <c r="I92" s="22" t="s">
        <v>967</v>
      </c>
      <c r="J92" s="23">
        <v>1</v>
      </c>
      <c r="K92" s="24">
        <v>41.61</v>
      </c>
      <c r="L92" s="25">
        <v>4.7012</v>
      </c>
      <c r="M92" s="24">
        <v>99.73</v>
      </c>
      <c r="N92" s="24">
        <v>99.71</v>
      </c>
      <c r="O92" s="24">
        <v>99.71</v>
      </c>
      <c r="P92" s="24">
        <v>99.73</v>
      </c>
      <c r="Q92" s="24">
        <v>0.04</v>
      </c>
      <c r="R92" s="24">
        <v>0.31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3">
        <v>0</v>
      </c>
      <c r="Y92" s="27">
        <v>6.9999999999999999E-4</v>
      </c>
      <c r="Z92" s="27">
        <v>0.42970000000000003</v>
      </c>
      <c r="AA92" s="27">
        <v>0.1129</v>
      </c>
      <c r="AB92" s="27">
        <v>0.24349999999999999</v>
      </c>
      <c r="AC92" s="27">
        <v>8.9999999999999998E-4</v>
      </c>
      <c r="AD92" s="24">
        <v>-8.8699999999999992</v>
      </c>
      <c r="AE92" s="24">
        <v>-92.08</v>
      </c>
      <c r="AF92" s="24">
        <v>99.97</v>
      </c>
      <c r="AG92" s="26">
        <v>100</v>
      </c>
      <c r="AH92" s="26">
        <v>100</v>
      </c>
      <c r="AI92" s="23">
        <v>1</v>
      </c>
      <c r="AJ92" s="27">
        <v>2E-3</v>
      </c>
      <c r="AK92" s="26">
        <v>112</v>
      </c>
      <c r="AL92" s="26">
        <v>0</v>
      </c>
      <c r="AM92" s="26">
        <v>0</v>
      </c>
      <c r="AN92" s="26">
        <v>0</v>
      </c>
      <c r="AO92" s="26">
        <v>36</v>
      </c>
      <c r="AP92" s="23">
        <v>1</v>
      </c>
      <c r="AQ92" s="27">
        <v>4.5100000000000001E-2</v>
      </c>
      <c r="AR92" s="26">
        <v>789501600</v>
      </c>
      <c r="AS92" s="25">
        <v>54.405000000000001</v>
      </c>
      <c r="AT92" s="25">
        <v>243.96850000000001</v>
      </c>
      <c r="AU92" s="25">
        <v>1050.3344</v>
      </c>
      <c r="AV92">
        <f t="shared" si="1"/>
        <v>100</v>
      </c>
    </row>
    <row r="93" spans="1:48" ht="16.5" x14ac:dyDescent="0.3">
      <c r="A93" s="22" t="s">
        <v>990</v>
      </c>
      <c r="B93" s="22" t="s">
        <v>991</v>
      </c>
      <c r="C93" s="22" t="s">
        <v>47</v>
      </c>
      <c r="D93" s="22" t="s">
        <v>958</v>
      </c>
      <c r="E93" s="22" t="s">
        <v>959</v>
      </c>
      <c r="F93" s="22" t="s">
        <v>958</v>
      </c>
      <c r="G93" s="22" t="s">
        <v>959</v>
      </c>
      <c r="H93" s="22" t="s">
        <v>968</v>
      </c>
      <c r="I93" s="22" t="s">
        <v>969</v>
      </c>
      <c r="J93" s="23">
        <v>1</v>
      </c>
      <c r="K93" s="24">
        <v>18.8</v>
      </c>
      <c r="L93" s="25">
        <v>3.3736999999999999</v>
      </c>
      <c r="M93" s="26">
        <v>100</v>
      </c>
      <c r="N93" s="24">
        <v>99.77</v>
      </c>
      <c r="O93" s="24">
        <v>99.76</v>
      </c>
      <c r="P93" s="24">
        <v>99.76</v>
      </c>
      <c r="Q93" s="26">
        <v>0</v>
      </c>
      <c r="R93" s="24">
        <v>0.23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3">
        <v>0</v>
      </c>
      <c r="Y93" s="23">
        <v>0</v>
      </c>
      <c r="Z93" s="27">
        <v>0.28970000000000001</v>
      </c>
      <c r="AA93" s="27">
        <v>7.1900000000000006E-2</v>
      </c>
      <c r="AB93" s="27">
        <v>0.22550000000000001</v>
      </c>
      <c r="AC93" s="27">
        <v>5.0000000000000001E-4</v>
      </c>
      <c r="AD93" s="24">
        <v>-7.3</v>
      </c>
      <c r="AE93" s="24">
        <v>-98.83</v>
      </c>
      <c r="AF93" s="24">
        <v>99.96</v>
      </c>
      <c r="AG93" s="24">
        <v>93.33</v>
      </c>
      <c r="AH93" s="26">
        <v>100</v>
      </c>
      <c r="AI93" s="23">
        <v>1</v>
      </c>
      <c r="AJ93" s="27">
        <v>2.5999999999999999E-3</v>
      </c>
      <c r="AK93" s="26">
        <v>96</v>
      </c>
      <c r="AL93" s="26">
        <v>0</v>
      </c>
      <c r="AM93" s="26">
        <v>0</v>
      </c>
      <c r="AN93" s="26">
        <v>0</v>
      </c>
      <c r="AO93" s="26">
        <v>16</v>
      </c>
      <c r="AP93" s="23">
        <v>1</v>
      </c>
      <c r="AQ93" s="27">
        <v>2.7799999999999998E-2</v>
      </c>
      <c r="AR93" s="26">
        <v>789501600</v>
      </c>
      <c r="AS93" s="25">
        <v>31.453299999999999</v>
      </c>
      <c r="AT93" s="25">
        <v>142.21090000000001</v>
      </c>
      <c r="AU93" s="25">
        <v>801.53430000000003</v>
      </c>
      <c r="AV93">
        <f t="shared" si="1"/>
        <v>100</v>
      </c>
    </row>
    <row r="94" spans="1:48" ht="16.5" x14ac:dyDescent="0.3">
      <c r="A94" s="22" t="s">
        <v>991</v>
      </c>
      <c r="B94" s="22" t="s">
        <v>992</v>
      </c>
      <c r="C94" s="22" t="s">
        <v>47</v>
      </c>
      <c r="D94" s="22" t="s">
        <v>958</v>
      </c>
      <c r="E94" s="22" t="s">
        <v>959</v>
      </c>
      <c r="F94" s="22" t="s">
        <v>958</v>
      </c>
      <c r="G94" s="22" t="s">
        <v>959</v>
      </c>
      <c r="H94" s="22" t="s">
        <v>962</v>
      </c>
      <c r="I94" s="22" t="s">
        <v>963</v>
      </c>
      <c r="J94" s="23">
        <v>1</v>
      </c>
      <c r="K94" s="24">
        <v>52.58</v>
      </c>
      <c r="L94" s="25">
        <v>7.3861999999999997</v>
      </c>
      <c r="M94" s="24">
        <v>99.76</v>
      </c>
      <c r="N94" s="24">
        <v>99.87</v>
      </c>
      <c r="O94" s="24">
        <v>99.85</v>
      </c>
      <c r="P94" s="24">
        <v>99.85</v>
      </c>
      <c r="Q94" s="24">
        <v>0.03</v>
      </c>
      <c r="R94" s="24">
        <v>0.25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3">
        <v>0</v>
      </c>
      <c r="Y94" s="23">
        <v>0</v>
      </c>
      <c r="Z94" s="27">
        <v>0.67669999999999997</v>
      </c>
      <c r="AA94" s="23">
        <v>0.36</v>
      </c>
      <c r="AB94" s="27">
        <v>0.24310000000000001</v>
      </c>
      <c r="AC94" s="27">
        <v>5.0000000000000001E-4</v>
      </c>
      <c r="AD94" s="24">
        <v>-11.2</v>
      </c>
      <c r="AE94" s="24">
        <v>-93.92</v>
      </c>
      <c r="AF94" s="24">
        <v>99.93</v>
      </c>
      <c r="AG94" s="26">
        <v>100</v>
      </c>
      <c r="AH94" s="26">
        <v>100</v>
      </c>
      <c r="AI94" s="23">
        <v>1</v>
      </c>
      <c r="AJ94" s="27">
        <v>1E-4</v>
      </c>
      <c r="AK94" s="26">
        <v>365</v>
      </c>
      <c r="AL94" s="26">
        <v>0</v>
      </c>
      <c r="AM94" s="26">
        <v>0</v>
      </c>
      <c r="AN94" s="26">
        <v>0</v>
      </c>
      <c r="AO94" s="26">
        <v>53</v>
      </c>
      <c r="AP94" s="23">
        <v>1</v>
      </c>
      <c r="AQ94" s="27">
        <v>0.14599999999999999</v>
      </c>
      <c r="AR94" s="26">
        <v>789501600</v>
      </c>
      <c r="AS94" s="25">
        <v>77.228399999999993</v>
      </c>
      <c r="AT94" s="25">
        <v>310.59750000000003</v>
      </c>
      <c r="AU94" s="25">
        <v>1739.0027</v>
      </c>
      <c r="AV94">
        <f t="shared" si="1"/>
        <v>100</v>
      </c>
    </row>
    <row r="95" spans="1:48" ht="16.5" x14ac:dyDescent="0.3">
      <c r="A95" s="22" t="s">
        <v>991</v>
      </c>
      <c r="B95" s="22" t="s">
        <v>992</v>
      </c>
      <c r="C95" s="22" t="s">
        <v>47</v>
      </c>
      <c r="D95" s="22" t="s">
        <v>958</v>
      </c>
      <c r="E95" s="22" t="s">
        <v>959</v>
      </c>
      <c r="F95" s="22" t="s">
        <v>958</v>
      </c>
      <c r="G95" s="22" t="s">
        <v>959</v>
      </c>
      <c r="H95" s="22" t="s">
        <v>964</v>
      </c>
      <c r="I95" s="22" t="s">
        <v>965</v>
      </c>
      <c r="J95" s="23">
        <v>1</v>
      </c>
      <c r="K95" s="24">
        <v>23.98</v>
      </c>
      <c r="L95" s="25">
        <v>4.4907000000000004</v>
      </c>
      <c r="M95" s="24">
        <v>99.79</v>
      </c>
      <c r="N95" s="24">
        <v>99.7</v>
      </c>
      <c r="O95" s="24">
        <v>99.68</v>
      </c>
      <c r="P95" s="24">
        <v>99.68</v>
      </c>
      <c r="Q95" s="26">
        <v>0</v>
      </c>
      <c r="R95" s="24">
        <v>0.41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3">
        <v>0</v>
      </c>
      <c r="Y95" s="23">
        <v>0</v>
      </c>
      <c r="Z95" s="27">
        <v>0.49020000000000002</v>
      </c>
      <c r="AA95" s="27">
        <v>9.5500000000000002E-2</v>
      </c>
      <c r="AB95" s="27">
        <v>0.1757</v>
      </c>
      <c r="AC95" s="27">
        <v>8.0000000000000004E-4</v>
      </c>
      <c r="AD95" s="24">
        <v>-10.16</v>
      </c>
      <c r="AE95" s="24">
        <v>-98.47</v>
      </c>
      <c r="AF95" s="24">
        <v>99.86</v>
      </c>
      <c r="AG95" s="26">
        <v>100</v>
      </c>
      <c r="AH95" s="26">
        <v>90</v>
      </c>
      <c r="AI95" s="23">
        <v>1</v>
      </c>
      <c r="AJ95" s="27">
        <v>2.3999999999999998E-3</v>
      </c>
      <c r="AK95" s="26">
        <v>313</v>
      </c>
      <c r="AL95" s="26">
        <v>0</v>
      </c>
      <c r="AM95" s="26">
        <v>0</v>
      </c>
      <c r="AN95" s="26">
        <v>0</v>
      </c>
      <c r="AO95" s="26">
        <v>31</v>
      </c>
      <c r="AP95" s="23">
        <v>1</v>
      </c>
      <c r="AQ95" s="27">
        <v>4.3900000000000002E-2</v>
      </c>
      <c r="AR95" s="26">
        <v>789501600</v>
      </c>
      <c r="AS95" s="25">
        <v>44.906700000000001</v>
      </c>
      <c r="AT95" s="25">
        <v>219.28639999999999</v>
      </c>
      <c r="AU95" s="25">
        <v>1010.7155</v>
      </c>
      <c r="AV95">
        <f t="shared" si="1"/>
        <v>100</v>
      </c>
    </row>
    <row r="96" spans="1:48" ht="16.5" x14ac:dyDescent="0.3">
      <c r="A96" s="22" t="s">
        <v>991</v>
      </c>
      <c r="B96" s="22" t="s">
        <v>992</v>
      </c>
      <c r="C96" s="22" t="s">
        <v>47</v>
      </c>
      <c r="D96" s="22" t="s">
        <v>958</v>
      </c>
      <c r="E96" s="22" t="s">
        <v>959</v>
      </c>
      <c r="F96" s="22" t="s">
        <v>958</v>
      </c>
      <c r="G96" s="22" t="s">
        <v>959</v>
      </c>
      <c r="H96" s="22" t="s">
        <v>966</v>
      </c>
      <c r="I96" s="22" t="s">
        <v>967</v>
      </c>
      <c r="J96" s="23">
        <v>0.86</v>
      </c>
      <c r="K96" s="24">
        <v>42.17</v>
      </c>
      <c r="L96" s="25">
        <v>3.5728</v>
      </c>
      <c r="M96" s="24">
        <v>99.85</v>
      </c>
      <c r="N96" s="24">
        <v>99.88</v>
      </c>
      <c r="O96" s="24">
        <v>99.88</v>
      </c>
      <c r="P96" s="24">
        <v>99.88</v>
      </c>
      <c r="Q96" s="24">
        <v>0.34</v>
      </c>
      <c r="R96" s="24">
        <v>0.37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3">
        <v>0</v>
      </c>
      <c r="Y96" s="27">
        <v>5.9999999999999995E-4</v>
      </c>
      <c r="Z96" s="27">
        <v>0.42920000000000003</v>
      </c>
      <c r="AA96" s="27">
        <v>0.1077</v>
      </c>
      <c r="AB96" s="27">
        <v>0.23119999999999999</v>
      </c>
      <c r="AC96" s="27">
        <v>8.9999999999999998E-4</v>
      </c>
      <c r="AD96" s="24">
        <v>-9.31</v>
      </c>
      <c r="AE96" s="24">
        <v>-92.08</v>
      </c>
      <c r="AF96" s="24">
        <v>99.93</v>
      </c>
      <c r="AG96" s="24">
        <v>81.819999999999993</v>
      </c>
      <c r="AH96" s="24">
        <v>33.33</v>
      </c>
      <c r="AI96" s="27">
        <v>0.99990000000000001</v>
      </c>
      <c r="AJ96" s="27">
        <v>1.5E-3</v>
      </c>
      <c r="AK96" s="26">
        <v>161</v>
      </c>
      <c r="AL96" s="26">
        <v>0</v>
      </c>
      <c r="AM96" s="26">
        <v>0</v>
      </c>
      <c r="AN96" s="26">
        <v>0</v>
      </c>
      <c r="AO96" s="26">
        <v>47</v>
      </c>
      <c r="AP96" s="23">
        <v>1</v>
      </c>
      <c r="AQ96" s="27">
        <v>4.4299999999999999E-2</v>
      </c>
      <c r="AR96" s="26">
        <v>789504624</v>
      </c>
      <c r="AS96" s="25">
        <v>49.045000000000002</v>
      </c>
      <c r="AT96" s="25">
        <v>184.77789999999999</v>
      </c>
      <c r="AU96" s="25">
        <v>798.36329999999998</v>
      </c>
      <c r="AV96">
        <f t="shared" si="1"/>
        <v>86</v>
      </c>
    </row>
    <row r="97" spans="1:48" ht="16.5" x14ac:dyDescent="0.3">
      <c r="A97" s="22" t="s">
        <v>991</v>
      </c>
      <c r="B97" s="22" t="s">
        <v>992</v>
      </c>
      <c r="C97" s="22" t="s">
        <v>47</v>
      </c>
      <c r="D97" s="22" t="s">
        <v>958</v>
      </c>
      <c r="E97" s="22" t="s">
        <v>959</v>
      </c>
      <c r="F97" s="22" t="s">
        <v>958</v>
      </c>
      <c r="G97" s="22" t="s">
        <v>959</v>
      </c>
      <c r="H97" s="22" t="s">
        <v>968</v>
      </c>
      <c r="I97" s="22" t="s">
        <v>969</v>
      </c>
      <c r="J97" s="23">
        <v>1</v>
      </c>
      <c r="K97" s="24">
        <v>22.6</v>
      </c>
      <c r="L97" s="25">
        <v>2.7629999999999999</v>
      </c>
      <c r="M97" s="24">
        <v>99.79</v>
      </c>
      <c r="N97" s="24">
        <v>99.86</v>
      </c>
      <c r="O97" s="24">
        <v>99.85</v>
      </c>
      <c r="P97" s="24">
        <v>99.85</v>
      </c>
      <c r="Q97" s="24">
        <v>0.15</v>
      </c>
      <c r="R97" s="24">
        <v>0.18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3">
        <v>0</v>
      </c>
      <c r="Y97" s="23">
        <v>0</v>
      </c>
      <c r="Z97" s="27">
        <v>0.31180000000000002</v>
      </c>
      <c r="AA97" s="27">
        <v>7.5800000000000006E-2</v>
      </c>
      <c r="AB97" s="27">
        <v>0.23730000000000001</v>
      </c>
      <c r="AC97" s="27">
        <v>5.9999999999999995E-4</v>
      </c>
      <c r="AD97" s="24">
        <v>-8.19</v>
      </c>
      <c r="AE97" s="24">
        <v>-98.69</v>
      </c>
      <c r="AF97" s="24">
        <v>99.97</v>
      </c>
      <c r="AG97" s="24">
        <v>93.75</v>
      </c>
      <c r="AH97" s="26">
        <v>100</v>
      </c>
      <c r="AI97" s="23">
        <v>1</v>
      </c>
      <c r="AJ97" s="27">
        <v>4.0000000000000002E-4</v>
      </c>
      <c r="AK97" s="26">
        <v>102</v>
      </c>
      <c r="AL97" s="26">
        <v>0</v>
      </c>
      <c r="AM97" s="26">
        <v>0</v>
      </c>
      <c r="AN97" s="26">
        <v>0</v>
      </c>
      <c r="AO97" s="26">
        <v>32</v>
      </c>
      <c r="AP97" s="23">
        <v>1</v>
      </c>
      <c r="AQ97" s="27">
        <v>2.7E-2</v>
      </c>
      <c r="AR97" s="26">
        <v>789501600</v>
      </c>
      <c r="AS97" s="25">
        <v>32.276600000000002</v>
      </c>
      <c r="AT97" s="25">
        <v>136.80779999999999</v>
      </c>
      <c r="AU97" s="25">
        <v>631.13</v>
      </c>
      <c r="AV97">
        <f t="shared" si="1"/>
        <v>100</v>
      </c>
    </row>
    <row r="98" spans="1:48" x14ac:dyDescent="0.25">
      <c r="J98" s="2"/>
      <c r="K98" s="4"/>
      <c r="L98" s="5"/>
      <c r="M98" s="4"/>
      <c r="N98" s="4"/>
      <c r="O98" s="4"/>
      <c r="P98" s="4"/>
      <c r="Q98" s="3"/>
      <c r="R98" s="4"/>
      <c r="S98" s="3"/>
      <c r="T98" s="3"/>
      <c r="U98" s="3"/>
      <c r="V98" s="3"/>
      <c r="W98" s="3"/>
      <c r="X98" s="2"/>
      <c r="Y98" s="2"/>
      <c r="Z98" s="6"/>
      <c r="AA98" s="6"/>
      <c r="AB98" s="6"/>
      <c r="AC98" s="6"/>
      <c r="AD98" s="4"/>
      <c r="AE98" s="4"/>
      <c r="AF98" s="4"/>
      <c r="AG98" s="4"/>
      <c r="AH98" s="4"/>
      <c r="AI98" s="6"/>
      <c r="AJ98" s="6"/>
      <c r="AK98" s="3"/>
      <c r="AL98" s="3"/>
      <c r="AM98" s="3"/>
      <c r="AN98" s="3"/>
      <c r="AO98" s="3"/>
      <c r="AP98" s="2"/>
      <c r="AQ98" s="6"/>
      <c r="AR98" s="3"/>
      <c r="AS98" s="5"/>
      <c r="AT98" s="5"/>
      <c r="AU98" s="5"/>
    </row>
    <row r="99" spans="1:48" x14ac:dyDescent="0.25">
      <c r="J99" s="2"/>
      <c r="K99" s="4"/>
      <c r="L99" s="5"/>
      <c r="M99" s="4"/>
      <c r="N99" s="4"/>
      <c r="O99" s="4"/>
      <c r="P99" s="4"/>
      <c r="Q99" s="4"/>
      <c r="R99" s="4"/>
      <c r="S99" s="3"/>
      <c r="T99" s="3"/>
      <c r="U99" s="3"/>
      <c r="V99" s="3"/>
      <c r="W99" s="3"/>
      <c r="X99" s="2"/>
      <c r="Y99" s="2"/>
      <c r="Z99" s="6"/>
      <c r="AA99" s="6"/>
      <c r="AB99" s="6"/>
      <c r="AC99" s="6"/>
      <c r="AD99" s="4"/>
      <c r="AE99" s="4"/>
      <c r="AF99" s="4"/>
      <c r="AG99" s="3"/>
      <c r="AH99" s="4"/>
      <c r="AI99" s="6"/>
      <c r="AJ99" s="6"/>
      <c r="AK99" s="3"/>
      <c r="AL99" s="3"/>
      <c r="AM99" s="3"/>
      <c r="AN99" s="3"/>
      <c r="AO99" s="3"/>
      <c r="AP99" s="2"/>
      <c r="AQ99" s="6"/>
      <c r="AR99" s="3"/>
      <c r="AS99" s="5"/>
      <c r="AT99" s="5"/>
      <c r="AU99" s="5"/>
    </row>
    <row r="100" spans="1:48" x14ac:dyDescent="0.25">
      <c r="J100" s="2"/>
      <c r="K100" s="4"/>
      <c r="L100" s="5"/>
      <c r="M100" s="4"/>
      <c r="N100" s="4"/>
      <c r="O100" s="4"/>
      <c r="P100" s="4"/>
      <c r="Q100" s="4"/>
      <c r="R100" s="4"/>
      <c r="S100" s="3"/>
      <c r="T100" s="3"/>
      <c r="U100" s="3"/>
      <c r="V100" s="3"/>
      <c r="W100" s="3"/>
      <c r="X100" s="2"/>
      <c r="Y100" s="2"/>
      <c r="Z100" s="6"/>
      <c r="AA100" s="6"/>
      <c r="AB100" s="6"/>
      <c r="AC100" s="6"/>
      <c r="AD100" s="4"/>
      <c r="AE100" s="4"/>
      <c r="AF100" s="4"/>
      <c r="AG100" s="4"/>
      <c r="AH100" s="4"/>
      <c r="AI100" s="6"/>
      <c r="AJ100" s="6"/>
      <c r="AK100" s="3"/>
      <c r="AL100" s="3"/>
      <c r="AM100" s="3"/>
      <c r="AN100" s="3"/>
      <c r="AO100" s="3"/>
      <c r="AP100" s="2"/>
      <c r="AQ100" s="6"/>
      <c r="AR100" s="3"/>
      <c r="AS100" s="5"/>
      <c r="AT100" s="5"/>
      <c r="AU100" s="5"/>
    </row>
    <row r="101" spans="1:48" x14ac:dyDescent="0.25">
      <c r="J101" s="2"/>
      <c r="K101" s="4"/>
      <c r="L101" s="5"/>
      <c r="M101" s="4"/>
      <c r="N101" s="4"/>
      <c r="O101" s="4"/>
      <c r="P101" s="4"/>
      <c r="Q101" s="4"/>
      <c r="R101" s="4"/>
      <c r="S101" s="3"/>
      <c r="T101" s="3"/>
      <c r="U101" s="3"/>
      <c r="V101" s="3"/>
      <c r="W101" s="3"/>
      <c r="X101" s="2"/>
      <c r="Y101" s="2"/>
      <c r="Z101" s="6"/>
      <c r="AA101" s="6"/>
      <c r="AB101" s="6"/>
      <c r="AC101" s="6"/>
      <c r="AD101" s="4"/>
      <c r="AE101" s="4"/>
      <c r="AF101" s="4"/>
      <c r="AG101" s="3"/>
      <c r="AH101" s="4"/>
      <c r="AI101" s="2"/>
      <c r="AJ101" s="6"/>
      <c r="AK101" s="3"/>
      <c r="AL101" s="3"/>
      <c r="AM101" s="3"/>
      <c r="AN101" s="3"/>
      <c r="AO101" s="3"/>
      <c r="AP101" s="2"/>
      <c r="AQ101" s="6"/>
      <c r="AR101" s="3"/>
      <c r="AS101" s="5"/>
      <c r="AT101" s="5"/>
      <c r="AU101" s="5"/>
    </row>
    <row r="102" spans="1:48" x14ac:dyDescent="0.25">
      <c r="J102" s="2"/>
      <c r="K102" s="4"/>
      <c r="L102" s="5"/>
      <c r="M102" s="4"/>
      <c r="N102" s="4"/>
      <c r="O102" s="4"/>
      <c r="P102" s="4"/>
      <c r="Q102" s="3"/>
      <c r="R102" s="4"/>
      <c r="S102" s="3"/>
      <c r="T102" s="3"/>
      <c r="U102" s="3"/>
      <c r="V102" s="3"/>
      <c r="W102" s="3"/>
      <c r="X102" s="2"/>
      <c r="Y102" s="2"/>
      <c r="Z102" s="6"/>
      <c r="AA102" s="6"/>
      <c r="AB102" s="6"/>
      <c r="AC102" s="6"/>
      <c r="AD102" s="4"/>
      <c r="AE102" s="4"/>
      <c r="AF102" s="4"/>
      <c r="AG102" s="4"/>
      <c r="AH102" s="4"/>
      <c r="AI102" s="6"/>
      <c r="AJ102" s="6"/>
      <c r="AK102" s="3"/>
      <c r="AL102" s="3"/>
      <c r="AM102" s="3"/>
      <c r="AN102" s="3"/>
      <c r="AO102" s="3"/>
      <c r="AP102" s="2"/>
      <c r="AQ102" s="6"/>
      <c r="AR102" s="3"/>
      <c r="AS102" s="5"/>
      <c r="AT102" s="5"/>
      <c r="AU102" s="5"/>
    </row>
    <row r="103" spans="1:48" x14ac:dyDescent="0.25">
      <c r="J103" s="2"/>
      <c r="K103" s="4"/>
      <c r="L103" s="5"/>
      <c r="M103" s="4"/>
      <c r="N103" s="4"/>
      <c r="O103" s="4"/>
      <c r="P103" s="4"/>
      <c r="Q103" s="4"/>
      <c r="R103" s="4"/>
      <c r="S103" s="3"/>
      <c r="T103" s="3"/>
      <c r="U103" s="3"/>
      <c r="V103" s="3"/>
      <c r="W103" s="3"/>
      <c r="X103" s="2"/>
      <c r="Y103" s="2"/>
      <c r="Z103" s="6"/>
      <c r="AA103" s="6"/>
      <c r="AB103" s="6"/>
      <c r="AC103" s="6"/>
      <c r="AD103" s="4"/>
      <c r="AE103" s="4"/>
      <c r="AF103" s="4"/>
      <c r="AG103" s="3"/>
      <c r="AH103" s="4"/>
      <c r="AI103" s="6"/>
      <c r="AJ103" s="6"/>
      <c r="AK103" s="3"/>
      <c r="AL103" s="3"/>
      <c r="AM103" s="3"/>
      <c r="AN103" s="3"/>
      <c r="AO103" s="3"/>
      <c r="AP103" s="2"/>
      <c r="AQ103" s="6"/>
      <c r="AR103" s="3"/>
      <c r="AS103" s="5"/>
      <c r="AT103" s="5"/>
      <c r="AU103" s="5"/>
    </row>
    <row r="104" spans="1:48" x14ac:dyDescent="0.25">
      <c r="J104" s="2"/>
      <c r="K104" s="4"/>
      <c r="L104" s="5"/>
      <c r="M104" s="4"/>
      <c r="N104" s="4"/>
      <c r="O104" s="4"/>
      <c r="P104" s="4"/>
      <c r="Q104" s="4"/>
      <c r="R104" s="4"/>
      <c r="S104" s="3"/>
      <c r="T104" s="3"/>
      <c r="U104" s="3"/>
      <c r="V104" s="3"/>
      <c r="W104" s="3"/>
      <c r="X104" s="2"/>
      <c r="Y104" s="2"/>
      <c r="Z104" s="6"/>
      <c r="AA104" s="6"/>
      <c r="AB104" s="6"/>
      <c r="AC104" s="6"/>
      <c r="AD104" s="4"/>
      <c r="AE104" s="4"/>
      <c r="AF104" s="4"/>
      <c r="AG104" s="3"/>
      <c r="AH104" s="4"/>
      <c r="AI104" s="6"/>
      <c r="AJ104" s="6"/>
      <c r="AK104" s="3"/>
      <c r="AL104" s="3"/>
      <c r="AM104" s="3"/>
      <c r="AN104" s="3"/>
      <c r="AO104" s="3"/>
      <c r="AP104" s="2"/>
      <c r="AQ104" s="6"/>
      <c r="AR104" s="3"/>
      <c r="AS104" s="5"/>
      <c r="AT104" s="5"/>
      <c r="AU104" s="5"/>
    </row>
    <row r="105" spans="1:48" x14ac:dyDescent="0.25">
      <c r="J105" s="2"/>
      <c r="K105" s="4"/>
      <c r="L105" s="5"/>
      <c r="M105" s="4"/>
      <c r="N105" s="4"/>
      <c r="O105" s="4"/>
      <c r="P105" s="4"/>
      <c r="Q105" s="4"/>
      <c r="R105" s="4"/>
      <c r="S105" s="3"/>
      <c r="T105" s="3"/>
      <c r="U105" s="3"/>
      <c r="V105" s="3"/>
      <c r="W105" s="3"/>
      <c r="X105" s="2"/>
      <c r="Y105" s="2"/>
      <c r="Z105" s="6"/>
      <c r="AA105" s="6"/>
      <c r="AB105" s="6"/>
      <c r="AC105" s="6"/>
      <c r="AD105" s="4"/>
      <c r="AE105" s="4"/>
      <c r="AF105" s="4"/>
      <c r="AG105" s="4"/>
      <c r="AH105" s="4"/>
      <c r="AI105" s="6"/>
      <c r="AJ105" s="6"/>
      <c r="AK105" s="3"/>
      <c r="AL105" s="3"/>
      <c r="AM105" s="3"/>
      <c r="AN105" s="3"/>
      <c r="AO105" s="3"/>
      <c r="AP105" s="2"/>
      <c r="AQ105" s="6"/>
      <c r="AR105" s="3"/>
      <c r="AS105" s="5"/>
      <c r="AT105" s="5"/>
      <c r="AU105" s="5"/>
    </row>
    <row r="106" spans="1:48" x14ac:dyDescent="0.25">
      <c r="J106" s="2"/>
      <c r="K106" s="4"/>
      <c r="L106" s="5"/>
      <c r="M106" s="4"/>
      <c r="N106" s="4"/>
      <c r="O106" s="4"/>
      <c r="P106" s="4"/>
      <c r="Q106" s="3"/>
      <c r="R106" s="4"/>
      <c r="S106" s="3"/>
      <c r="T106" s="3"/>
      <c r="U106" s="3"/>
      <c r="V106" s="3"/>
      <c r="W106" s="3"/>
      <c r="X106" s="2"/>
      <c r="Y106" s="2"/>
      <c r="Z106" s="6"/>
      <c r="AA106" s="6"/>
      <c r="AB106" s="6"/>
      <c r="AC106" s="6"/>
      <c r="AD106" s="4"/>
      <c r="AE106" s="4"/>
      <c r="AF106" s="4"/>
      <c r="AG106" s="3"/>
      <c r="AH106" s="4"/>
      <c r="AI106" s="2"/>
      <c r="AJ106" s="6"/>
      <c r="AK106" s="3"/>
      <c r="AL106" s="3"/>
      <c r="AM106" s="3"/>
      <c r="AN106" s="3"/>
      <c r="AO106" s="3"/>
      <c r="AP106" s="2"/>
      <c r="AQ106" s="6"/>
      <c r="AR106" s="3"/>
      <c r="AS106" s="5"/>
      <c r="AT106" s="5"/>
      <c r="AU106" s="5"/>
    </row>
    <row r="107" spans="1:48" x14ac:dyDescent="0.25">
      <c r="J107" s="2"/>
      <c r="K107" s="4"/>
      <c r="L107" s="5"/>
      <c r="M107" s="4"/>
      <c r="N107" s="4"/>
      <c r="O107" s="4"/>
      <c r="P107" s="4"/>
      <c r="Q107" s="4"/>
      <c r="R107" s="4"/>
      <c r="S107" s="3"/>
      <c r="T107" s="3"/>
      <c r="U107" s="3"/>
      <c r="V107" s="3"/>
      <c r="W107" s="3"/>
      <c r="X107" s="2"/>
      <c r="Y107" s="2"/>
      <c r="Z107" s="6"/>
      <c r="AA107" s="6"/>
      <c r="AB107" s="6"/>
      <c r="AC107" s="6"/>
      <c r="AD107" s="4"/>
      <c r="AE107" s="4"/>
      <c r="AF107" s="4"/>
      <c r="AG107" s="3"/>
      <c r="AH107" s="4"/>
      <c r="AI107" s="6"/>
      <c r="AJ107" s="6"/>
      <c r="AK107" s="3"/>
      <c r="AL107" s="3"/>
      <c r="AM107" s="3"/>
      <c r="AN107" s="3"/>
      <c r="AO107" s="3"/>
      <c r="AP107" s="2"/>
      <c r="AQ107" s="6"/>
      <c r="AR107" s="3"/>
      <c r="AS107" s="5"/>
      <c r="AT107" s="5"/>
      <c r="AU107" s="5"/>
    </row>
    <row r="108" spans="1:48" x14ac:dyDescent="0.25">
      <c r="J108" s="2"/>
      <c r="K108" s="4"/>
      <c r="L108" s="5"/>
      <c r="M108" s="4"/>
      <c r="N108" s="4"/>
      <c r="O108" s="4"/>
      <c r="P108" s="4"/>
      <c r="Q108" s="4"/>
      <c r="R108" s="4"/>
      <c r="S108" s="3"/>
      <c r="T108" s="3"/>
      <c r="U108" s="3"/>
      <c r="V108" s="3"/>
      <c r="W108" s="3"/>
      <c r="X108" s="2"/>
      <c r="Y108" s="2"/>
      <c r="Z108" s="6"/>
      <c r="AA108" s="6"/>
      <c r="AB108" s="6"/>
      <c r="AC108" s="6"/>
      <c r="AD108" s="4"/>
      <c r="AE108" s="4"/>
      <c r="AF108" s="4"/>
      <c r="AG108" s="4"/>
      <c r="AH108" s="4"/>
      <c r="AI108" s="6"/>
      <c r="AJ108" s="6"/>
      <c r="AK108" s="3"/>
      <c r="AL108" s="3"/>
      <c r="AM108" s="3"/>
      <c r="AN108" s="3"/>
      <c r="AO108" s="3"/>
      <c r="AP108" s="2"/>
      <c r="AQ108" s="6"/>
      <c r="AR108" s="3"/>
      <c r="AS108" s="5"/>
      <c r="AT108" s="5"/>
      <c r="AU108" s="5"/>
    </row>
    <row r="109" spans="1:48" x14ac:dyDescent="0.25">
      <c r="J109" s="2"/>
      <c r="K109" s="4"/>
      <c r="L109" s="5"/>
      <c r="M109" s="4"/>
      <c r="N109" s="4"/>
      <c r="O109" s="4"/>
      <c r="P109" s="4"/>
      <c r="Q109" s="3"/>
      <c r="R109" s="4"/>
      <c r="S109" s="3"/>
      <c r="T109" s="3"/>
      <c r="U109" s="3"/>
      <c r="V109" s="3"/>
      <c r="W109" s="3"/>
      <c r="X109" s="2"/>
      <c r="Y109" s="2"/>
      <c r="Z109" s="6"/>
      <c r="AA109" s="6"/>
      <c r="AB109" s="6"/>
      <c r="AC109" s="6"/>
      <c r="AD109" s="4"/>
      <c r="AE109" s="4"/>
      <c r="AF109" s="4"/>
      <c r="AG109" s="3"/>
      <c r="AH109" s="4"/>
      <c r="AI109" s="6"/>
      <c r="AJ109" s="6"/>
      <c r="AK109" s="3"/>
      <c r="AL109" s="3"/>
      <c r="AM109" s="3"/>
      <c r="AN109" s="3"/>
      <c r="AO109" s="3"/>
      <c r="AP109" s="2"/>
      <c r="AQ109" s="6"/>
      <c r="AR109" s="3"/>
      <c r="AS109" s="5"/>
      <c r="AT109" s="5"/>
      <c r="AU109" s="5"/>
    </row>
    <row r="110" spans="1:48" x14ac:dyDescent="0.25">
      <c r="J110" s="2"/>
      <c r="K110" s="4"/>
      <c r="L110" s="5"/>
      <c r="M110" s="4"/>
      <c r="N110" s="4"/>
      <c r="O110" s="4"/>
      <c r="P110" s="4"/>
      <c r="Q110" s="4"/>
      <c r="R110" s="4"/>
      <c r="S110" s="3"/>
      <c r="T110" s="3"/>
      <c r="U110" s="3"/>
      <c r="V110" s="3"/>
      <c r="W110" s="3"/>
      <c r="X110" s="2"/>
      <c r="Y110" s="2"/>
      <c r="Z110" s="6"/>
      <c r="AA110" s="6"/>
      <c r="AB110" s="6"/>
      <c r="AC110" s="6"/>
      <c r="AD110" s="4"/>
      <c r="AE110" s="4"/>
      <c r="AF110" s="4"/>
      <c r="AG110" s="3"/>
      <c r="AH110" s="4"/>
      <c r="AI110" s="6"/>
      <c r="AJ110" s="6"/>
      <c r="AK110" s="3"/>
      <c r="AL110" s="3"/>
      <c r="AM110" s="3"/>
      <c r="AN110" s="3"/>
      <c r="AO110" s="3"/>
      <c r="AP110" s="2"/>
      <c r="AQ110" s="6"/>
      <c r="AR110" s="3"/>
      <c r="AS110" s="5"/>
      <c r="AT110" s="5"/>
      <c r="AU110" s="5"/>
    </row>
    <row r="111" spans="1:48" x14ac:dyDescent="0.25">
      <c r="J111" s="2"/>
      <c r="K111" s="4"/>
      <c r="L111" s="5"/>
      <c r="M111" s="4"/>
      <c r="N111" s="4"/>
      <c r="O111" s="4"/>
      <c r="P111" s="4"/>
      <c r="Q111" s="4"/>
      <c r="R111" s="4"/>
      <c r="S111" s="3"/>
      <c r="T111" s="3"/>
      <c r="U111" s="3"/>
      <c r="V111" s="3"/>
      <c r="W111" s="3"/>
      <c r="X111" s="2"/>
      <c r="Y111" s="2"/>
      <c r="Z111" s="6"/>
      <c r="AA111" s="6"/>
      <c r="AB111" s="6"/>
      <c r="AC111" s="6"/>
      <c r="AD111" s="4"/>
      <c r="AE111" s="4"/>
      <c r="AF111" s="4"/>
      <c r="AG111" s="3"/>
      <c r="AH111" s="4"/>
      <c r="AI111" s="6"/>
      <c r="AJ111" s="6"/>
      <c r="AK111" s="3"/>
      <c r="AL111" s="3"/>
      <c r="AM111" s="3"/>
      <c r="AN111" s="3"/>
      <c r="AO111" s="3"/>
      <c r="AP111" s="2"/>
      <c r="AQ111" s="6"/>
      <c r="AR111" s="3"/>
      <c r="AS111" s="5"/>
      <c r="AT111" s="5"/>
      <c r="AU111" s="5"/>
    </row>
    <row r="112" spans="1:48" x14ac:dyDescent="0.25">
      <c r="J112" s="2"/>
      <c r="K112" s="4"/>
      <c r="L112" s="5"/>
      <c r="M112" s="4"/>
      <c r="N112" s="4"/>
      <c r="O112" s="4"/>
      <c r="P112" s="4"/>
      <c r="Q112" s="4"/>
      <c r="R112" s="4"/>
      <c r="S112" s="3"/>
      <c r="T112" s="3"/>
      <c r="U112" s="3"/>
      <c r="V112" s="3"/>
      <c r="W112" s="3"/>
      <c r="X112" s="2"/>
      <c r="Y112" s="2"/>
      <c r="Z112" s="6"/>
      <c r="AA112" s="6"/>
      <c r="AB112" s="6"/>
      <c r="AC112" s="6"/>
      <c r="AD112" s="4"/>
      <c r="AE112" s="4"/>
      <c r="AF112" s="4"/>
      <c r="AG112" s="4"/>
      <c r="AH112" s="4"/>
      <c r="AI112" s="6"/>
      <c r="AJ112" s="6"/>
      <c r="AK112" s="3"/>
      <c r="AL112" s="3"/>
      <c r="AM112" s="3"/>
      <c r="AN112" s="3"/>
      <c r="AO112" s="3"/>
      <c r="AP112" s="2"/>
      <c r="AQ112" s="6"/>
      <c r="AR112" s="3"/>
      <c r="AS112" s="5"/>
      <c r="AT112" s="5"/>
      <c r="AU112" s="5"/>
    </row>
    <row r="113" spans="10:47" x14ac:dyDescent="0.25">
      <c r="J113" s="2"/>
      <c r="K113" s="4"/>
      <c r="L113" s="5"/>
      <c r="M113" s="4"/>
      <c r="N113" s="4"/>
      <c r="O113" s="4"/>
      <c r="P113" s="4"/>
      <c r="Q113" s="4"/>
      <c r="R113" s="4"/>
      <c r="S113" s="3"/>
      <c r="T113" s="3"/>
      <c r="U113" s="3"/>
      <c r="V113" s="3"/>
      <c r="W113" s="3"/>
      <c r="X113" s="2"/>
      <c r="Y113" s="2"/>
      <c r="Z113" s="6"/>
      <c r="AA113" s="6"/>
      <c r="AB113" s="6"/>
      <c r="AC113" s="6"/>
      <c r="AD113" s="4"/>
      <c r="AE113" s="4"/>
      <c r="AF113" s="4"/>
      <c r="AG113" s="4"/>
      <c r="AH113" s="4"/>
      <c r="AI113" s="6"/>
      <c r="AJ113" s="6"/>
      <c r="AK113" s="3"/>
      <c r="AL113" s="3"/>
      <c r="AM113" s="3"/>
      <c r="AN113" s="3"/>
      <c r="AO113" s="3"/>
      <c r="AP113" s="2"/>
      <c r="AQ113" s="6"/>
      <c r="AR113" s="3"/>
      <c r="AS113" s="5"/>
      <c r="AT113" s="5"/>
      <c r="AU113" s="5"/>
    </row>
    <row r="114" spans="10:47" x14ac:dyDescent="0.25">
      <c r="J114" s="2"/>
      <c r="K114" s="4"/>
      <c r="L114" s="5"/>
      <c r="M114" s="4"/>
      <c r="N114" s="4"/>
      <c r="O114" s="4"/>
      <c r="P114" s="4"/>
      <c r="Q114" s="4"/>
      <c r="R114" s="4"/>
      <c r="S114" s="3"/>
      <c r="T114" s="3"/>
      <c r="U114" s="3"/>
      <c r="V114" s="3"/>
      <c r="W114" s="3"/>
      <c r="X114" s="2"/>
      <c r="Y114" s="2"/>
      <c r="Z114" s="6"/>
      <c r="AA114" s="6"/>
      <c r="AB114" s="6"/>
      <c r="AC114" s="6"/>
      <c r="AD114" s="4"/>
      <c r="AE114" s="4"/>
      <c r="AF114" s="4"/>
      <c r="AG114" s="3"/>
      <c r="AH114" s="3"/>
      <c r="AI114" s="6"/>
      <c r="AJ114" s="2"/>
      <c r="AK114" s="3"/>
      <c r="AL114" s="3"/>
      <c r="AM114" s="3"/>
      <c r="AN114" s="3"/>
      <c r="AO114" s="3"/>
      <c r="AP114" s="2"/>
      <c r="AQ114" s="6"/>
      <c r="AR114" s="3"/>
      <c r="AS114" s="5"/>
      <c r="AT114" s="5"/>
      <c r="AU114" s="5"/>
    </row>
    <row r="115" spans="10:47" x14ac:dyDescent="0.25">
      <c r="J115" s="2"/>
      <c r="K115" s="4"/>
      <c r="L115" s="5"/>
      <c r="M115" s="4"/>
      <c r="N115" s="4"/>
      <c r="O115" s="4"/>
      <c r="P115" s="4"/>
      <c r="Q115" s="4"/>
      <c r="R115" s="4"/>
      <c r="S115" s="3"/>
      <c r="T115" s="3"/>
      <c r="U115" s="3"/>
      <c r="V115" s="3"/>
      <c r="W115" s="3"/>
      <c r="X115" s="2"/>
      <c r="Y115" s="2"/>
      <c r="Z115" s="6"/>
      <c r="AA115" s="6"/>
      <c r="AB115" s="6"/>
      <c r="AC115" s="6"/>
      <c r="AD115" s="4"/>
      <c r="AE115" s="4"/>
      <c r="AF115" s="4"/>
      <c r="AG115" s="3"/>
      <c r="AH115" s="4"/>
      <c r="AI115" s="6"/>
      <c r="AJ115" s="6"/>
      <c r="AK115" s="3"/>
      <c r="AL115" s="3"/>
      <c r="AM115" s="3"/>
      <c r="AN115" s="3"/>
      <c r="AO115" s="3"/>
      <c r="AP115" s="2"/>
      <c r="AQ115" s="6"/>
      <c r="AR115" s="3"/>
      <c r="AS115" s="5"/>
      <c r="AT115" s="5"/>
      <c r="AU115" s="5"/>
    </row>
    <row r="116" spans="10:47" x14ac:dyDescent="0.25">
      <c r="J116" s="2"/>
      <c r="K116" s="4"/>
      <c r="L116" s="5"/>
      <c r="M116" s="4"/>
      <c r="N116" s="4"/>
      <c r="O116" s="4"/>
      <c r="P116" s="4"/>
      <c r="Q116" s="4"/>
      <c r="R116" s="4"/>
      <c r="S116" s="3"/>
      <c r="T116" s="3"/>
      <c r="U116" s="3"/>
      <c r="V116" s="3"/>
      <c r="W116" s="3"/>
      <c r="X116" s="2"/>
      <c r="Y116" s="2"/>
      <c r="Z116" s="6"/>
      <c r="AA116" s="6"/>
      <c r="AB116" s="6"/>
      <c r="AC116" s="6"/>
      <c r="AD116" s="4"/>
      <c r="AE116" s="4"/>
      <c r="AF116" s="4"/>
      <c r="AG116" s="4"/>
      <c r="AH116" s="4"/>
      <c r="AI116" s="6"/>
      <c r="AJ116" s="6"/>
      <c r="AK116" s="3"/>
      <c r="AL116" s="3"/>
      <c r="AM116" s="3"/>
      <c r="AN116" s="3"/>
      <c r="AO116" s="3"/>
      <c r="AP116" s="2"/>
      <c r="AQ116" s="6"/>
      <c r="AR116" s="3"/>
      <c r="AS116" s="5"/>
      <c r="AT116" s="5"/>
      <c r="AU116" s="5"/>
    </row>
    <row r="117" spans="10:47" x14ac:dyDescent="0.25">
      <c r="J117" s="2"/>
      <c r="K117" s="3"/>
      <c r="L117" s="5"/>
      <c r="M117" s="4"/>
      <c r="N117" s="4"/>
      <c r="O117" s="4"/>
      <c r="P117" s="4"/>
      <c r="Q117" s="4"/>
      <c r="R117" s="4"/>
      <c r="S117" s="3"/>
      <c r="T117" s="3"/>
      <c r="U117" s="3"/>
      <c r="V117" s="3"/>
      <c r="W117" s="3"/>
      <c r="X117" s="2"/>
      <c r="Y117" s="2"/>
      <c r="Z117" s="6"/>
      <c r="AA117" s="6"/>
      <c r="AB117" s="6"/>
      <c r="AC117" s="6"/>
      <c r="AD117" s="4"/>
      <c r="AE117" s="4"/>
      <c r="AF117" s="4"/>
      <c r="AG117" s="3"/>
      <c r="AH117" s="4"/>
      <c r="AI117" s="6"/>
      <c r="AJ117" s="6"/>
      <c r="AK117" s="3"/>
      <c r="AL117" s="3"/>
      <c r="AM117" s="3"/>
      <c r="AN117" s="3"/>
      <c r="AO117" s="3"/>
      <c r="AP117" s="2"/>
      <c r="AQ117" s="6"/>
      <c r="AR117" s="3"/>
      <c r="AS117" s="5"/>
      <c r="AT117" s="5"/>
      <c r="AU117" s="5"/>
    </row>
    <row r="118" spans="10:47" x14ac:dyDescent="0.25">
      <c r="J118" s="2"/>
      <c r="K118" s="4"/>
      <c r="L118" s="5"/>
      <c r="M118" s="4"/>
      <c r="N118" s="4"/>
      <c r="O118" s="4"/>
      <c r="P118" s="4"/>
      <c r="Q118" s="4"/>
      <c r="R118" s="4"/>
      <c r="S118" s="3"/>
      <c r="T118" s="3"/>
      <c r="U118" s="3"/>
      <c r="V118" s="3"/>
      <c r="W118" s="3"/>
      <c r="X118" s="2"/>
      <c r="Y118" s="2"/>
      <c r="Z118" s="6"/>
      <c r="AA118" s="6"/>
      <c r="AB118" s="6"/>
      <c r="AC118" s="6"/>
      <c r="AD118" s="4"/>
      <c r="AE118" s="4"/>
      <c r="AF118" s="4"/>
      <c r="AG118" s="3"/>
      <c r="AH118" s="4"/>
      <c r="AI118" s="6"/>
      <c r="AJ118" s="6"/>
      <c r="AK118" s="3"/>
      <c r="AL118" s="3"/>
      <c r="AM118" s="3"/>
      <c r="AN118" s="3"/>
      <c r="AO118" s="3"/>
      <c r="AP118" s="2"/>
      <c r="AQ118" s="6"/>
      <c r="AR118" s="3"/>
      <c r="AS118" s="5"/>
      <c r="AT118" s="5"/>
      <c r="AU118" s="5"/>
    </row>
    <row r="119" spans="10:47" x14ac:dyDescent="0.25">
      <c r="J119" s="2"/>
      <c r="K119" s="4"/>
      <c r="L119" s="5"/>
      <c r="M119" s="4"/>
      <c r="N119" s="4"/>
      <c r="O119" s="4"/>
      <c r="P119" s="4"/>
      <c r="Q119" s="4"/>
      <c r="R119" s="4"/>
      <c r="S119" s="3"/>
      <c r="T119" s="3"/>
      <c r="U119" s="3"/>
      <c r="V119" s="3"/>
      <c r="W119" s="3"/>
      <c r="X119" s="2"/>
      <c r="Y119" s="2"/>
      <c r="Z119" s="6"/>
      <c r="AA119" s="6"/>
      <c r="AB119" s="6"/>
      <c r="AC119" s="6"/>
      <c r="AD119" s="4"/>
      <c r="AE119" s="4"/>
      <c r="AF119" s="4"/>
      <c r="AG119" s="3"/>
      <c r="AH119" s="4"/>
      <c r="AI119" s="6"/>
      <c r="AJ119" s="6"/>
      <c r="AK119" s="3"/>
      <c r="AL119" s="3"/>
      <c r="AM119" s="3"/>
      <c r="AN119" s="3"/>
      <c r="AO119" s="3"/>
      <c r="AP119" s="2"/>
      <c r="AQ119" s="6"/>
      <c r="AR119" s="3"/>
      <c r="AS119" s="5"/>
      <c r="AT119" s="5"/>
      <c r="AU119" s="5"/>
    </row>
    <row r="120" spans="10:47" x14ac:dyDescent="0.25">
      <c r="J120" s="2"/>
      <c r="K120" s="4"/>
      <c r="L120" s="5"/>
      <c r="M120" s="4"/>
      <c r="N120" s="4"/>
      <c r="O120" s="4"/>
      <c r="P120" s="4"/>
      <c r="Q120" s="4"/>
      <c r="R120" s="4"/>
      <c r="S120" s="3"/>
      <c r="T120" s="3"/>
      <c r="U120" s="3"/>
      <c r="V120" s="3"/>
      <c r="W120" s="3"/>
      <c r="X120" s="2"/>
      <c r="Y120" s="2"/>
      <c r="Z120" s="6"/>
      <c r="AA120" s="6"/>
      <c r="AB120" s="6"/>
      <c r="AC120" s="6"/>
      <c r="AD120" s="4"/>
      <c r="AE120" s="4"/>
      <c r="AF120" s="4"/>
      <c r="AG120" s="3"/>
      <c r="AH120" s="4"/>
      <c r="AI120" s="6"/>
      <c r="AJ120" s="6"/>
      <c r="AK120" s="3"/>
      <c r="AL120" s="3"/>
      <c r="AM120" s="3"/>
      <c r="AN120" s="3"/>
      <c r="AO120" s="3"/>
      <c r="AP120" s="2"/>
      <c r="AQ120" s="6"/>
      <c r="AR120" s="3"/>
      <c r="AS120" s="5"/>
      <c r="AT120" s="5"/>
      <c r="AU120" s="5"/>
    </row>
    <row r="121" spans="10:47" x14ac:dyDescent="0.25">
      <c r="J121" s="2"/>
      <c r="K121" s="4"/>
      <c r="L121" s="5"/>
      <c r="M121" s="4"/>
      <c r="N121" s="4"/>
      <c r="O121" s="4"/>
      <c r="P121" s="4"/>
      <c r="Q121" s="3"/>
      <c r="R121" s="4"/>
      <c r="S121" s="3"/>
      <c r="T121" s="3"/>
      <c r="U121" s="3"/>
      <c r="V121" s="3"/>
      <c r="W121" s="3"/>
      <c r="X121" s="2"/>
      <c r="Y121" s="2"/>
      <c r="Z121" s="6"/>
      <c r="AA121" s="6"/>
      <c r="AB121" s="6"/>
      <c r="AC121" s="6"/>
      <c r="AD121" s="4"/>
      <c r="AE121" s="4"/>
      <c r="AF121" s="4"/>
      <c r="AG121" s="3"/>
      <c r="AH121" s="4"/>
      <c r="AI121" s="6"/>
      <c r="AJ121" s="6"/>
      <c r="AK121" s="3"/>
      <c r="AL121" s="3"/>
      <c r="AM121" s="3"/>
      <c r="AN121" s="3"/>
      <c r="AO121" s="3"/>
      <c r="AP121" s="2"/>
      <c r="AQ121" s="6"/>
      <c r="AR121" s="3"/>
      <c r="AS121" s="5"/>
      <c r="AT121" s="5"/>
      <c r="AU121" s="5"/>
    </row>
    <row r="122" spans="10:47" x14ac:dyDescent="0.25">
      <c r="J122" s="2"/>
      <c r="K122" s="4"/>
      <c r="L122" s="5"/>
      <c r="M122" s="4"/>
      <c r="N122" s="4"/>
      <c r="O122" s="4"/>
      <c r="P122" s="4"/>
      <c r="Q122" s="4"/>
      <c r="R122" s="4"/>
      <c r="S122" s="3"/>
      <c r="T122" s="3"/>
      <c r="U122" s="3"/>
      <c r="V122" s="3"/>
      <c r="W122" s="3"/>
      <c r="X122" s="2"/>
      <c r="Y122" s="6"/>
      <c r="Z122" s="6"/>
      <c r="AA122" s="6"/>
      <c r="AB122" s="6"/>
      <c r="AC122" s="6"/>
      <c r="AD122" s="4"/>
      <c r="AE122" s="4"/>
      <c r="AF122" s="4"/>
      <c r="AG122" s="4"/>
      <c r="AI122" s="6"/>
      <c r="AJ122" s="6"/>
      <c r="AK122" s="3"/>
      <c r="AL122" s="3"/>
      <c r="AM122" s="3"/>
      <c r="AN122" s="5"/>
      <c r="AO122" s="3"/>
      <c r="AP122" s="2"/>
      <c r="AQ122" s="6"/>
      <c r="AR122" s="3"/>
      <c r="AS122" s="5"/>
      <c r="AT122" s="5"/>
      <c r="AU122" s="5"/>
    </row>
    <row r="123" spans="10:47" x14ac:dyDescent="0.25">
      <c r="J123" s="2"/>
      <c r="K123" s="4"/>
      <c r="L123" s="5"/>
      <c r="M123" s="4"/>
      <c r="N123" s="4"/>
      <c r="O123" s="4"/>
      <c r="P123" s="4"/>
      <c r="Q123" s="4"/>
      <c r="R123" s="4"/>
      <c r="S123" s="3"/>
      <c r="T123" s="3"/>
      <c r="U123" s="3"/>
      <c r="V123" s="3"/>
      <c r="W123" s="3"/>
      <c r="X123" s="2"/>
      <c r="Y123" s="6"/>
      <c r="Z123" s="6"/>
      <c r="AA123" s="6"/>
      <c r="AB123" s="6"/>
      <c r="AC123" s="6"/>
      <c r="AD123" s="4"/>
      <c r="AE123" s="4"/>
      <c r="AF123" s="4"/>
      <c r="AG123" s="3"/>
      <c r="AI123" s="6"/>
      <c r="AJ123" s="2"/>
      <c r="AK123" s="3"/>
      <c r="AL123" s="3"/>
      <c r="AM123" s="3"/>
      <c r="AN123" s="5"/>
      <c r="AO123" s="3"/>
      <c r="AP123" s="6"/>
      <c r="AQ123" s="6"/>
      <c r="AR123" s="3"/>
      <c r="AS123" s="5"/>
      <c r="AT123" s="5"/>
      <c r="AU123" s="5"/>
    </row>
    <row r="124" spans="10:47" x14ac:dyDescent="0.25">
      <c r="J124" s="2"/>
      <c r="K124" s="4"/>
      <c r="L124" s="5"/>
      <c r="M124" s="4"/>
      <c r="N124" s="4"/>
      <c r="O124" s="4"/>
      <c r="P124" s="4"/>
      <c r="Q124" s="4"/>
      <c r="R124" s="4"/>
      <c r="S124" s="3"/>
      <c r="T124" s="3"/>
      <c r="U124" s="3"/>
      <c r="V124" s="3"/>
      <c r="W124" s="3"/>
      <c r="X124" s="2"/>
      <c r="Y124" s="6"/>
      <c r="Z124" s="6"/>
      <c r="AA124" s="6"/>
      <c r="AB124" s="6"/>
      <c r="AC124" s="6"/>
      <c r="AD124" s="4"/>
      <c r="AE124" s="4"/>
      <c r="AF124" s="4"/>
      <c r="AG124" s="4"/>
      <c r="AI124" s="6"/>
      <c r="AJ124" s="6"/>
      <c r="AK124" s="3"/>
      <c r="AL124" s="3"/>
      <c r="AM124" s="3"/>
      <c r="AN124" s="5"/>
      <c r="AO124" s="3"/>
      <c r="AP124" s="2"/>
      <c r="AQ124" s="6"/>
      <c r="AR124" s="3"/>
      <c r="AS124" s="5"/>
      <c r="AT124" s="5"/>
      <c r="AU124" s="5"/>
    </row>
    <row r="125" spans="10:47" x14ac:dyDescent="0.25">
      <c r="J125" s="2"/>
      <c r="K125" s="4"/>
      <c r="L125" s="5"/>
      <c r="M125" s="4"/>
      <c r="N125" s="4"/>
      <c r="O125" s="4"/>
      <c r="P125" s="4"/>
      <c r="Q125" s="3"/>
      <c r="R125" s="4"/>
      <c r="S125" s="3"/>
      <c r="T125" s="3"/>
      <c r="U125" s="3"/>
      <c r="V125" s="3"/>
      <c r="W125" s="3"/>
      <c r="X125" s="2"/>
      <c r="Y125" s="2"/>
      <c r="Z125" s="6"/>
      <c r="AA125" s="6"/>
      <c r="AB125" s="6"/>
      <c r="AC125" s="6"/>
      <c r="AD125" s="4"/>
      <c r="AE125" s="4"/>
      <c r="AF125" s="4"/>
      <c r="AG125" s="3"/>
      <c r="AI125" s="6"/>
      <c r="AJ125" s="6"/>
      <c r="AK125" s="3"/>
      <c r="AL125" s="3"/>
      <c r="AM125" s="3"/>
      <c r="AN125" s="3"/>
      <c r="AO125" s="3"/>
      <c r="AP125" s="2"/>
      <c r="AQ125" s="6"/>
      <c r="AR125" s="3"/>
      <c r="AS125" s="5"/>
      <c r="AT125" s="5"/>
      <c r="AU125" s="5"/>
    </row>
    <row r="126" spans="10:47" x14ac:dyDescent="0.25">
      <c r="J126" s="2"/>
      <c r="K126" s="4"/>
      <c r="L126" s="5"/>
      <c r="M126" s="4"/>
      <c r="N126" s="4"/>
      <c r="O126" s="4"/>
      <c r="P126" s="4"/>
      <c r="Q126" s="4"/>
      <c r="R126" s="4"/>
      <c r="S126" s="3"/>
      <c r="T126" s="3"/>
      <c r="U126" s="3"/>
      <c r="V126" s="3"/>
      <c r="W126" s="3"/>
      <c r="X126" s="2"/>
      <c r="Y126" s="2"/>
      <c r="Z126" s="6"/>
      <c r="AA126" s="6"/>
      <c r="AB126" s="6"/>
      <c r="AC126" s="6"/>
      <c r="AD126" s="4"/>
      <c r="AE126" s="4"/>
      <c r="AF126" s="4"/>
      <c r="AG126" s="4"/>
      <c r="AI126" s="6"/>
      <c r="AJ126" s="6"/>
      <c r="AK126" s="3"/>
      <c r="AL126" s="3"/>
      <c r="AM126" s="3"/>
      <c r="AN126" s="3"/>
      <c r="AO126" s="3"/>
      <c r="AP126" s="2"/>
      <c r="AQ126" s="6"/>
      <c r="AR126" s="3"/>
      <c r="AS126" s="5"/>
      <c r="AT126" s="5"/>
      <c r="AU126" s="5"/>
    </row>
    <row r="127" spans="10:47" x14ac:dyDescent="0.25">
      <c r="J127" s="2"/>
      <c r="K127" s="4"/>
      <c r="L127" s="5"/>
      <c r="M127" s="4"/>
      <c r="N127" s="4"/>
      <c r="O127" s="4"/>
      <c r="P127" s="4"/>
      <c r="Q127" s="4"/>
      <c r="R127" s="4"/>
      <c r="S127" s="3"/>
      <c r="T127" s="3"/>
      <c r="U127" s="3"/>
      <c r="V127" s="3"/>
      <c r="W127" s="3"/>
      <c r="X127" s="2"/>
      <c r="Y127" s="6"/>
      <c r="Z127" s="6"/>
      <c r="AA127" s="6"/>
      <c r="AB127" s="6"/>
      <c r="AC127" s="6"/>
      <c r="AD127" s="4"/>
      <c r="AE127" s="4"/>
      <c r="AF127" s="4"/>
      <c r="AG127" s="3"/>
      <c r="AI127" s="6"/>
      <c r="AJ127" s="6"/>
      <c r="AK127" s="3"/>
      <c r="AL127" s="3"/>
      <c r="AM127" s="3"/>
      <c r="AN127" s="5"/>
      <c r="AO127" s="3"/>
      <c r="AP127" s="2"/>
      <c r="AQ127" s="6"/>
      <c r="AR127" s="3"/>
      <c r="AS127" s="5"/>
      <c r="AT127" s="5"/>
      <c r="AU127" s="5"/>
    </row>
    <row r="128" spans="10:47" x14ac:dyDescent="0.25">
      <c r="J128" s="2"/>
      <c r="K128" s="4"/>
      <c r="L128" s="5"/>
      <c r="M128" s="4"/>
      <c r="N128" s="4"/>
      <c r="O128" s="4"/>
      <c r="P128" s="4"/>
      <c r="Q128" s="4"/>
      <c r="R128" s="4"/>
      <c r="S128" s="3"/>
      <c r="T128" s="3"/>
      <c r="U128" s="3"/>
      <c r="V128" s="3"/>
      <c r="W128" s="3"/>
      <c r="X128" s="2"/>
      <c r="Y128" s="6"/>
      <c r="Z128" s="6"/>
      <c r="AA128" s="6"/>
      <c r="AB128" s="6"/>
      <c r="AC128" s="6"/>
      <c r="AD128" s="4"/>
      <c r="AE128" s="4"/>
      <c r="AF128" s="4"/>
      <c r="AG128" s="3"/>
      <c r="AI128" s="6"/>
      <c r="AJ128" s="6"/>
      <c r="AK128" s="3"/>
      <c r="AL128" s="3"/>
      <c r="AM128" s="3"/>
      <c r="AN128" s="5"/>
      <c r="AO128" s="3"/>
      <c r="AP128" s="6"/>
      <c r="AQ128" s="6"/>
      <c r="AR128" s="3"/>
      <c r="AS128" s="5"/>
      <c r="AT128" s="5"/>
      <c r="AU128" s="5"/>
    </row>
    <row r="129" spans="10:47" x14ac:dyDescent="0.25">
      <c r="J129" s="2"/>
      <c r="K129" s="4"/>
      <c r="L129" s="5"/>
      <c r="M129" s="4"/>
      <c r="N129" s="4"/>
      <c r="O129" s="4"/>
      <c r="P129" s="4"/>
      <c r="Q129" s="4"/>
      <c r="R129" s="4"/>
      <c r="S129" s="3"/>
      <c r="T129" s="3"/>
      <c r="U129" s="3"/>
      <c r="V129" s="3"/>
      <c r="W129" s="3"/>
      <c r="X129" s="2"/>
      <c r="Y129" s="6"/>
      <c r="Z129" s="6"/>
      <c r="AA129" s="6"/>
      <c r="AB129" s="6"/>
      <c r="AC129" s="6"/>
      <c r="AD129" s="4"/>
      <c r="AE129" s="4"/>
      <c r="AF129" s="4"/>
      <c r="AG129" s="4"/>
      <c r="AI129" s="6"/>
      <c r="AJ129" s="6"/>
      <c r="AK129" s="3"/>
      <c r="AL129" s="3"/>
      <c r="AM129" s="3"/>
      <c r="AN129" s="5"/>
      <c r="AO129" s="3"/>
      <c r="AP129" s="2"/>
      <c r="AQ129" s="6"/>
      <c r="AR129" s="3"/>
      <c r="AS129" s="5"/>
      <c r="AT129" s="5"/>
      <c r="AU129" s="5"/>
    </row>
    <row r="130" spans="10:47" x14ac:dyDescent="0.25">
      <c r="J130" s="2"/>
      <c r="K130" s="4"/>
      <c r="L130" s="5"/>
      <c r="M130" s="4"/>
      <c r="N130" s="4"/>
      <c r="O130" s="4"/>
      <c r="P130" s="4"/>
      <c r="Q130" s="3"/>
      <c r="R130" s="4"/>
      <c r="S130" s="3"/>
      <c r="T130" s="3"/>
      <c r="U130" s="3"/>
      <c r="V130" s="3"/>
      <c r="W130" s="3"/>
      <c r="X130" s="2"/>
      <c r="Y130" s="2"/>
      <c r="Z130" s="6"/>
      <c r="AA130" s="6"/>
      <c r="AB130" s="6"/>
      <c r="AC130" s="6"/>
      <c r="AD130" s="4"/>
      <c r="AE130" s="4"/>
      <c r="AF130" s="4"/>
      <c r="AG130" s="3"/>
      <c r="AI130" s="6"/>
      <c r="AJ130" s="6"/>
      <c r="AK130" s="3"/>
      <c r="AL130" s="3"/>
      <c r="AM130" s="3"/>
      <c r="AN130" s="3"/>
      <c r="AO130" s="3"/>
      <c r="AP130" s="2"/>
      <c r="AQ130" s="6"/>
      <c r="AR130" s="3"/>
      <c r="AS130" s="5"/>
      <c r="AT130" s="5"/>
      <c r="AU130" s="5"/>
    </row>
    <row r="131" spans="10:47" x14ac:dyDescent="0.25">
      <c r="J131" s="2"/>
      <c r="K131" s="4"/>
      <c r="L131" s="5"/>
      <c r="M131" s="4"/>
      <c r="N131" s="4"/>
      <c r="O131" s="4"/>
      <c r="P131" s="4"/>
      <c r="Q131" s="4"/>
      <c r="R131" s="4"/>
      <c r="S131" s="3"/>
      <c r="T131" s="3"/>
      <c r="U131" s="3"/>
      <c r="V131" s="3"/>
      <c r="W131" s="3"/>
      <c r="X131" s="2"/>
      <c r="Y131" s="6"/>
      <c r="Z131" s="6"/>
      <c r="AA131" s="6"/>
      <c r="AB131" s="6"/>
      <c r="AC131" s="6"/>
      <c r="AD131" s="4"/>
      <c r="AE131" s="4"/>
      <c r="AF131" s="4"/>
      <c r="AG131" s="3"/>
      <c r="AI131" s="6"/>
      <c r="AJ131" s="6"/>
      <c r="AK131" s="3"/>
      <c r="AL131" s="3"/>
      <c r="AM131" s="3"/>
      <c r="AN131" s="5"/>
      <c r="AO131" s="3"/>
      <c r="AP131" s="2"/>
      <c r="AQ131" s="6"/>
      <c r="AR131" s="3"/>
      <c r="AS131" s="5"/>
      <c r="AT131" s="5"/>
      <c r="AU131" s="5"/>
    </row>
    <row r="132" spans="10:47" x14ac:dyDescent="0.25">
      <c r="J132" s="2"/>
      <c r="K132" s="4"/>
      <c r="L132" s="5"/>
      <c r="M132" s="4"/>
      <c r="N132" s="4"/>
      <c r="O132" s="4"/>
      <c r="P132" s="4"/>
      <c r="Q132" s="4"/>
      <c r="R132" s="4"/>
      <c r="S132" s="3"/>
      <c r="T132" s="3"/>
      <c r="U132" s="3"/>
      <c r="V132" s="3"/>
      <c r="W132" s="3"/>
      <c r="X132" s="2"/>
      <c r="Y132" s="6"/>
      <c r="Z132" s="6"/>
      <c r="AA132" s="6"/>
      <c r="AB132" s="6"/>
      <c r="AC132" s="6"/>
      <c r="AD132" s="4"/>
      <c r="AE132" s="4"/>
      <c r="AF132" s="4"/>
      <c r="AG132" s="4"/>
      <c r="AI132" s="6"/>
      <c r="AJ132" s="6"/>
      <c r="AK132" s="3"/>
      <c r="AL132" s="3"/>
      <c r="AM132" s="3"/>
      <c r="AN132" s="5"/>
      <c r="AO132" s="3"/>
      <c r="AP132" s="2"/>
      <c r="AQ132" s="6"/>
      <c r="AR132" s="3"/>
      <c r="AS132" s="5"/>
      <c r="AT132" s="5"/>
      <c r="AU132" s="5"/>
    </row>
    <row r="133" spans="10:47" x14ac:dyDescent="0.25">
      <c r="J133" s="2"/>
      <c r="K133" s="4"/>
      <c r="L133" s="5"/>
      <c r="M133" s="4"/>
      <c r="N133" s="4"/>
      <c r="O133" s="4"/>
      <c r="P133" s="4"/>
      <c r="Q133" s="4"/>
      <c r="R133" s="4"/>
      <c r="S133" s="3"/>
      <c r="T133" s="3"/>
      <c r="U133" s="3"/>
      <c r="V133" s="3"/>
      <c r="W133" s="3"/>
      <c r="X133" s="2"/>
      <c r="Y133" s="6"/>
      <c r="Z133" s="6"/>
      <c r="AA133" s="6"/>
      <c r="AB133" s="6"/>
      <c r="AC133" s="6"/>
      <c r="AD133" s="4"/>
      <c r="AE133" s="4"/>
      <c r="AF133" s="4"/>
      <c r="AG133" s="4"/>
      <c r="AI133" s="6"/>
      <c r="AJ133" s="6"/>
      <c r="AK133" s="3"/>
      <c r="AL133" s="3"/>
      <c r="AM133" s="3"/>
      <c r="AN133" s="5"/>
      <c r="AO133" s="3"/>
      <c r="AP133" s="6"/>
      <c r="AQ133" s="6"/>
      <c r="AR133" s="3"/>
      <c r="AS133" s="5"/>
      <c r="AT133" s="5"/>
      <c r="AU133" s="5"/>
    </row>
    <row r="134" spans="10:47" x14ac:dyDescent="0.25">
      <c r="J134" s="2"/>
      <c r="K134" s="4"/>
      <c r="L134" s="5"/>
      <c r="M134" s="4"/>
      <c r="N134" s="4"/>
      <c r="O134" s="4"/>
      <c r="P134" s="4"/>
      <c r="Q134" s="4"/>
      <c r="R134" s="4"/>
      <c r="S134" s="3"/>
      <c r="T134" s="3"/>
      <c r="U134" s="3"/>
      <c r="V134" s="3"/>
      <c r="W134" s="3"/>
      <c r="X134" s="2"/>
      <c r="Y134" s="6"/>
      <c r="Z134" s="6"/>
      <c r="AA134" s="6"/>
      <c r="AB134" s="6"/>
      <c r="AC134" s="6"/>
      <c r="AD134" s="4"/>
      <c r="AE134" s="4"/>
      <c r="AF134" s="4"/>
      <c r="AG134" s="3"/>
      <c r="AI134" s="6"/>
      <c r="AJ134" s="6"/>
      <c r="AK134" s="3"/>
      <c r="AL134" s="3"/>
      <c r="AM134" s="3"/>
      <c r="AN134" s="5"/>
      <c r="AO134" s="3"/>
      <c r="AP134" s="2"/>
      <c r="AQ134" s="6"/>
      <c r="AR134" s="3"/>
      <c r="AS134" s="5"/>
      <c r="AT134" s="5"/>
      <c r="AU134" s="5"/>
    </row>
    <row r="135" spans="10:47" x14ac:dyDescent="0.25">
      <c r="J135" s="2"/>
      <c r="K135" s="4"/>
      <c r="L135" s="5"/>
      <c r="M135" s="4"/>
      <c r="N135" s="4"/>
      <c r="O135" s="4"/>
      <c r="P135" s="4"/>
      <c r="Q135" s="4"/>
      <c r="R135" s="4"/>
      <c r="S135" s="3"/>
      <c r="T135" s="3"/>
      <c r="U135" s="3"/>
      <c r="V135" s="3"/>
      <c r="W135" s="3"/>
      <c r="X135" s="2"/>
      <c r="Y135" s="2"/>
      <c r="Z135" s="6"/>
      <c r="AA135" s="6"/>
      <c r="AB135" s="6"/>
      <c r="AC135" s="6"/>
      <c r="AD135" s="4"/>
      <c r="AE135" s="4"/>
      <c r="AF135" s="4"/>
      <c r="AG135" s="3"/>
      <c r="AI135" s="6"/>
      <c r="AJ135" s="6"/>
      <c r="AK135" s="3"/>
      <c r="AL135" s="3"/>
      <c r="AM135" s="3"/>
      <c r="AN135" s="3"/>
      <c r="AO135" s="3"/>
      <c r="AP135" s="2"/>
      <c r="AQ135" s="6"/>
      <c r="AR135" s="3"/>
      <c r="AS135" s="5"/>
      <c r="AT135" s="5"/>
      <c r="AU135" s="5"/>
    </row>
    <row r="136" spans="10:47" x14ac:dyDescent="0.25">
      <c r="J136" s="2"/>
      <c r="K136" s="4"/>
      <c r="L136" s="5"/>
      <c r="M136" s="4"/>
      <c r="N136" s="4"/>
      <c r="O136" s="4"/>
      <c r="P136" s="4"/>
      <c r="Q136" s="4"/>
      <c r="R136" s="4"/>
      <c r="S136" s="3"/>
      <c r="T136" s="3"/>
      <c r="U136" s="3"/>
      <c r="V136" s="3"/>
      <c r="W136" s="3"/>
      <c r="X136" s="2"/>
      <c r="Y136" s="2"/>
      <c r="Z136" s="6"/>
      <c r="AA136" s="6"/>
      <c r="AB136" s="6"/>
      <c r="AC136" s="6"/>
      <c r="AD136" s="4"/>
      <c r="AE136" s="4"/>
      <c r="AF136" s="4"/>
      <c r="AG136" s="4"/>
      <c r="AI136" s="6"/>
      <c r="AJ136" s="6"/>
      <c r="AK136" s="3"/>
      <c r="AL136" s="3"/>
      <c r="AM136" s="3"/>
      <c r="AN136" s="3"/>
      <c r="AO136" s="3"/>
      <c r="AP136" s="2"/>
      <c r="AQ136" s="6"/>
      <c r="AR136" s="3"/>
      <c r="AS136" s="5"/>
      <c r="AT136" s="5"/>
      <c r="AU136" s="5"/>
    </row>
    <row r="137" spans="10:47" x14ac:dyDescent="0.25">
      <c r="J137" s="2"/>
      <c r="K137" s="4"/>
      <c r="L137" s="5"/>
      <c r="M137" s="4"/>
      <c r="N137" s="4"/>
      <c r="O137" s="4"/>
      <c r="P137" s="4"/>
      <c r="Q137" s="4"/>
      <c r="R137" s="4"/>
      <c r="S137" s="3"/>
      <c r="T137" s="3"/>
      <c r="U137" s="3"/>
      <c r="V137" s="3"/>
      <c r="W137" s="3"/>
      <c r="X137" s="2"/>
      <c r="Y137" s="6"/>
      <c r="Z137" s="6"/>
      <c r="AA137" s="6"/>
      <c r="AB137" s="6"/>
      <c r="AC137" s="6"/>
      <c r="AD137" s="4"/>
      <c r="AE137" s="4"/>
      <c r="AF137" s="4"/>
      <c r="AG137" s="4"/>
      <c r="AI137" s="6"/>
      <c r="AJ137" s="6"/>
      <c r="AK137" s="3"/>
      <c r="AL137" s="3"/>
      <c r="AM137" s="3"/>
      <c r="AN137" s="5"/>
      <c r="AO137" s="3"/>
      <c r="AP137" s="2"/>
      <c r="AQ137" s="6"/>
      <c r="AR137" s="3"/>
      <c r="AS137" s="5"/>
      <c r="AT137" s="5"/>
      <c r="AU137" s="5"/>
    </row>
    <row r="138" spans="10:47" x14ac:dyDescent="0.25">
      <c r="J138" s="2"/>
      <c r="K138" s="4"/>
      <c r="L138" s="5"/>
      <c r="M138" s="4"/>
      <c r="N138" s="4"/>
      <c r="O138" s="4"/>
      <c r="P138" s="4"/>
      <c r="Q138" s="4"/>
      <c r="R138" s="4"/>
      <c r="S138" s="3"/>
      <c r="T138" s="3"/>
      <c r="U138" s="3"/>
      <c r="V138" s="3"/>
      <c r="W138" s="3"/>
      <c r="X138" s="2"/>
      <c r="Y138" s="6"/>
      <c r="Z138" s="6"/>
      <c r="AA138" s="6"/>
      <c r="AB138" s="6"/>
      <c r="AC138" s="6"/>
      <c r="AD138" s="4"/>
      <c r="AE138" s="4"/>
      <c r="AF138" s="4"/>
      <c r="AG138" s="3"/>
      <c r="AI138" s="6"/>
      <c r="AJ138" s="6"/>
      <c r="AK138" s="3"/>
      <c r="AL138" s="3"/>
      <c r="AM138" s="3"/>
      <c r="AN138" s="5"/>
      <c r="AO138" s="3"/>
      <c r="AP138" s="6"/>
      <c r="AQ138" s="6"/>
      <c r="AR138" s="3"/>
      <c r="AS138" s="5"/>
      <c r="AT138" s="5"/>
      <c r="AU138" s="5"/>
    </row>
    <row r="139" spans="10:47" x14ac:dyDescent="0.25">
      <c r="J139" s="2"/>
      <c r="K139" s="4"/>
      <c r="L139" s="5"/>
      <c r="M139" s="4"/>
      <c r="N139" s="4"/>
      <c r="O139" s="4"/>
      <c r="P139" s="4"/>
      <c r="Q139" s="4"/>
      <c r="R139" s="4"/>
      <c r="S139" s="3"/>
      <c r="T139" s="3"/>
      <c r="U139" s="3"/>
      <c r="V139" s="3"/>
      <c r="W139" s="3"/>
      <c r="X139" s="2"/>
      <c r="Y139" s="6"/>
      <c r="Z139" s="6"/>
      <c r="AA139" s="6"/>
      <c r="AB139" s="6"/>
      <c r="AC139" s="6"/>
      <c r="AD139" s="4"/>
      <c r="AE139" s="4"/>
      <c r="AF139" s="4"/>
      <c r="AG139" s="4"/>
      <c r="AI139" s="6"/>
      <c r="AJ139" s="6"/>
      <c r="AK139" s="3"/>
      <c r="AL139" s="3"/>
      <c r="AM139" s="3"/>
      <c r="AN139" s="5"/>
      <c r="AO139" s="3"/>
      <c r="AP139" s="2"/>
      <c r="AQ139" s="6"/>
      <c r="AR139" s="3"/>
      <c r="AS139" s="5"/>
      <c r="AT139" s="5"/>
      <c r="AU139" s="5"/>
    </row>
    <row r="140" spans="10:47" x14ac:dyDescent="0.25">
      <c r="J140" s="2"/>
      <c r="K140" s="4"/>
      <c r="L140" s="5"/>
      <c r="M140" s="4"/>
      <c r="N140" s="4"/>
      <c r="O140" s="4"/>
      <c r="P140" s="4"/>
      <c r="Q140" s="4"/>
      <c r="R140" s="4"/>
      <c r="S140" s="3"/>
      <c r="T140" s="3"/>
      <c r="U140" s="3"/>
      <c r="V140" s="3"/>
      <c r="W140" s="3"/>
      <c r="X140" s="2"/>
      <c r="Y140" s="6"/>
      <c r="Z140" s="6"/>
      <c r="AA140" s="6"/>
      <c r="AB140" s="6"/>
      <c r="AC140" s="6"/>
      <c r="AD140" s="4"/>
      <c r="AE140" s="4"/>
      <c r="AF140" s="4"/>
      <c r="AI140" s="6"/>
      <c r="AJ140" s="6"/>
      <c r="AK140" s="3"/>
      <c r="AL140" s="3"/>
      <c r="AM140" s="3"/>
      <c r="AN140" s="3"/>
      <c r="AO140" s="3"/>
      <c r="AP140" s="2"/>
      <c r="AQ140" s="6"/>
      <c r="AR140" s="3"/>
      <c r="AS140" s="5"/>
      <c r="AT140" s="5"/>
      <c r="AU140" s="5"/>
    </row>
    <row r="141" spans="10:47" x14ac:dyDescent="0.25">
      <c r="J141" s="2"/>
      <c r="K141" s="4"/>
      <c r="L141" s="5"/>
      <c r="M141" s="4"/>
      <c r="N141" s="4"/>
      <c r="O141" s="4"/>
      <c r="P141" s="4"/>
      <c r="Q141" s="4"/>
      <c r="R141" s="4"/>
      <c r="S141" s="3"/>
      <c r="T141" s="3"/>
      <c r="U141" s="3"/>
      <c r="V141" s="3"/>
      <c r="W141" s="3"/>
      <c r="X141" s="2"/>
      <c r="Y141" s="2"/>
      <c r="Z141" s="6"/>
      <c r="AA141" s="6"/>
      <c r="AB141" s="6"/>
      <c r="AC141" s="6"/>
      <c r="AD141" s="4"/>
      <c r="AE141" s="4"/>
      <c r="AF141" s="4"/>
      <c r="AG141" s="4"/>
      <c r="AI141" s="6"/>
      <c r="AJ141" s="6"/>
      <c r="AK141" s="3"/>
      <c r="AL141" s="3"/>
      <c r="AM141" s="3"/>
      <c r="AN141" s="3"/>
      <c r="AO141" s="3"/>
      <c r="AP141" s="2"/>
      <c r="AQ141" s="6"/>
      <c r="AR141" s="3"/>
      <c r="AS141" s="5"/>
      <c r="AT141" s="5"/>
      <c r="AU141" s="5"/>
    </row>
    <row r="142" spans="10:47" x14ac:dyDescent="0.25">
      <c r="J142" s="2"/>
      <c r="K142" s="4"/>
      <c r="L142" s="5"/>
      <c r="M142" s="4"/>
      <c r="N142" s="4"/>
      <c r="O142" s="4"/>
      <c r="P142" s="4"/>
      <c r="Q142" s="4"/>
      <c r="R142" s="4"/>
      <c r="S142" s="3"/>
      <c r="T142" s="3"/>
      <c r="U142" s="3"/>
      <c r="V142" s="3"/>
      <c r="W142" s="3"/>
      <c r="X142" s="2"/>
      <c r="Y142" s="2"/>
      <c r="Z142" s="6"/>
      <c r="AA142" s="6"/>
      <c r="AB142" s="6"/>
      <c r="AC142" s="6"/>
      <c r="AD142" s="4"/>
      <c r="AE142" s="4"/>
      <c r="AF142" s="4"/>
      <c r="AG142" s="4"/>
      <c r="AI142" s="6"/>
      <c r="AJ142" s="6"/>
      <c r="AK142" s="3"/>
      <c r="AL142" s="3"/>
      <c r="AM142" s="3"/>
      <c r="AN142" s="3"/>
      <c r="AO142" s="3"/>
      <c r="AP142" s="2"/>
      <c r="AQ142" s="6"/>
      <c r="AR142" s="3"/>
      <c r="AS142" s="5"/>
      <c r="AT142" s="5"/>
      <c r="AU142" s="5"/>
    </row>
    <row r="143" spans="10:47" x14ac:dyDescent="0.25">
      <c r="J143" s="2"/>
      <c r="K143" s="4"/>
      <c r="L143" s="5"/>
      <c r="M143" s="4"/>
      <c r="N143" s="4"/>
      <c r="O143" s="4"/>
      <c r="P143" s="4"/>
      <c r="Q143" s="4"/>
      <c r="R143" s="4"/>
      <c r="S143" s="3"/>
      <c r="T143" s="3"/>
      <c r="U143" s="3"/>
      <c r="V143" s="3"/>
      <c r="W143" s="3"/>
      <c r="X143" s="2"/>
      <c r="Y143" s="2"/>
      <c r="Z143" s="6"/>
      <c r="AA143" s="6"/>
      <c r="AB143" s="6"/>
      <c r="AC143" s="6"/>
      <c r="AD143" s="4"/>
      <c r="AE143" s="4"/>
      <c r="AF143" s="4"/>
      <c r="AG143" s="4"/>
      <c r="AI143" s="6"/>
      <c r="AJ143" s="6"/>
      <c r="AK143" s="3"/>
      <c r="AL143" s="3"/>
      <c r="AM143" s="3"/>
      <c r="AN143" s="3"/>
      <c r="AO143" s="3"/>
      <c r="AP143" s="6"/>
      <c r="AQ143" s="6"/>
      <c r="AR143" s="3"/>
      <c r="AS143" s="5"/>
      <c r="AT143" s="5"/>
      <c r="AU143" s="5"/>
    </row>
    <row r="144" spans="10:47" x14ac:dyDescent="0.25">
      <c r="J144" s="2"/>
      <c r="K144" s="4"/>
      <c r="L144" s="5"/>
      <c r="M144" s="4"/>
      <c r="N144" s="4"/>
      <c r="O144" s="4"/>
      <c r="P144" s="4"/>
      <c r="Q144" s="4"/>
      <c r="R144" s="4"/>
      <c r="S144" s="3"/>
      <c r="T144" s="3"/>
      <c r="U144" s="3"/>
      <c r="V144" s="3"/>
      <c r="W144" s="3"/>
      <c r="X144" s="2"/>
      <c r="Y144" s="6"/>
      <c r="Z144" s="6"/>
      <c r="AA144" s="6"/>
      <c r="AB144" s="6"/>
      <c r="AC144" s="6"/>
      <c r="AD144" s="4"/>
      <c r="AE144" s="4"/>
      <c r="AF144" s="4"/>
      <c r="AG144" s="4"/>
      <c r="AI144" s="6"/>
      <c r="AJ144" s="6"/>
      <c r="AK144" s="3"/>
      <c r="AL144" s="3"/>
      <c r="AM144" s="3"/>
      <c r="AN144" s="5"/>
      <c r="AO144" s="3"/>
      <c r="AP144" s="2"/>
      <c r="AQ144" s="6"/>
      <c r="AR144" s="3"/>
      <c r="AS144" s="5"/>
      <c r="AT144" s="5"/>
      <c r="AU144" s="5"/>
    </row>
    <row r="145" spans="10:47" x14ac:dyDescent="0.25">
      <c r="J145" s="2"/>
      <c r="K145" s="4"/>
      <c r="L145" s="5"/>
      <c r="M145" s="4"/>
      <c r="N145" s="4"/>
      <c r="O145" s="4"/>
      <c r="P145" s="4"/>
      <c r="Q145" s="4"/>
      <c r="R145" s="4"/>
      <c r="S145" s="3"/>
      <c r="T145" s="3"/>
      <c r="U145" s="3"/>
      <c r="V145" s="3"/>
      <c r="W145" s="3"/>
      <c r="X145" s="2"/>
      <c r="Y145" s="2"/>
      <c r="Z145" s="6"/>
      <c r="AA145" s="6"/>
      <c r="AB145" s="6"/>
      <c r="AC145" s="6"/>
      <c r="AD145" s="4"/>
      <c r="AE145" s="4"/>
      <c r="AF145" s="4"/>
      <c r="AG145" s="4"/>
      <c r="AI145" s="6"/>
      <c r="AJ145" s="6"/>
      <c r="AK145" s="3"/>
      <c r="AL145" s="3"/>
      <c r="AM145" s="3"/>
      <c r="AN145" s="3"/>
      <c r="AO145" s="3"/>
      <c r="AP145" s="2"/>
      <c r="AQ145" s="6"/>
      <c r="AR145" s="3"/>
      <c r="AS145" s="5"/>
      <c r="AT145" s="5"/>
      <c r="AU145" s="5"/>
    </row>
    <row r="146" spans="10:47" x14ac:dyDescent="0.25">
      <c r="J146" s="2"/>
      <c r="K146" s="4"/>
      <c r="L146" s="5"/>
      <c r="M146" s="4"/>
      <c r="N146" s="4"/>
      <c r="O146" s="4"/>
      <c r="P146" s="4"/>
      <c r="Q146" s="4"/>
      <c r="R146" s="4"/>
      <c r="S146" s="3"/>
      <c r="T146" s="3"/>
      <c r="U146" s="3"/>
      <c r="V146" s="3"/>
      <c r="W146" s="3"/>
      <c r="X146" s="2"/>
      <c r="Y146" s="2"/>
      <c r="Z146" s="6"/>
      <c r="AA146" s="6"/>
      <c r="AB146" s="6"/>
      <c r="AC146" s="6"/>
      <c r="AD146" s="4"/>
      <c r="AE146" s="4"/>
      <c r="AF146" s="4"/>
      <c r="AG146" s="4"/>
      <c r="AI146" s="6"/>
      <c r="AJ146" s="6"/>
      <c r="AK146" s="3"/>
      <c r="AL146" s="3"/>
      <c r="AM146" s="3"/>
      <c r="AN146" s="3"/>
      <c r="AO146" s="3"/>
      <c r="AP146" s="2"/>
      <c r="AQ146" s="6"/>
      <c r="AR146" s="3"/>
      <c r="AS146" s="5"/>
      <c r="AT146" s="5"/>
      <c r="AU146" s="5"/>
    </row>
    <row r="147" spans="10:47" x14ac:dyDescent="0.25">
      <c r="J147" s="2"/>
      <c r="K147" s="4"/>
      <c r="L147" s="5"/>
      <c r="M147" s="4"/>
      <c r="N147" s="4"/>
      <c r="O147" s="4"/>
      <c r="P147" s="4"/>
      <c r="Q147" s="4"/>
      <c r="R147" s="4"/>
      <c r="S147" s="3"/>
      <c r="T147" s="3"/>
      <c r="U147" s="3"/>
      <c r="V147" s="3"/>
      <c r="W147" s="3"/>
      <c r="X147" s="2"/>
      <c r="Y147" s="6"/>
      <c r="Z147" s="6"/>
      <c r="AA147" s="6"/>
      <c r="AB147" s="6"/>
      <c r="AC147" s="6"/>
      <c r="AD147" s="4"/>
      <c r="AE147" s="4"/>
      <c r="AF147" s="4"/>
      <c r="AG147" s="3"/>
      <c r="AI147" s="6"/>
      <c r="AJ147" s="6"/>
      <c r="AK147" s="3"/>
      <c r="AL147" s="3"/>
      <c r="AM147" s="3"/>
      <c r="AN147" s="5"/>
      <c r="AO147" s="3"/>
      <c r="AP147" s="2"/>
      <c r="AQ147" s="6"/>
      <c r="AR147" s="3"/>
      <c r="AS147" s="5"/>
      <c r="AT147" s="5"/>
      <c r="AU147" s="5"/>
    </row>
    <row r="148" spans="10:47" x14ac:dyDescent="0.25">
      <c r="J148" s="2"/>
      <c r="K148" s="4"/>
      <c r="L148" s="5"/>
      <c r="M148" s="4"/>
      <c r="N148" s="4"/>
      <c r="O148" s="4"/>
      <c r="P148" s="4"/>
      <c r="Q148" s="4"/>
      <c r="R148" s="4"/>
      <c r="S148" s="3"/>
      <c r="T148" s="3"/>
      <c r="U148" s="3"/>
      <c r="V148" s="3"/>
      <c r="W148" s="3"/>
      <c r="X148" s="2"/>
      <c r="Y148" s="6"/>
      <c r="Z148" s="6"/>
      <c r="AA148" s="6"/>
      <c r="AB148" s="6"/>
      <c r="AC148" s="6"/>
      <c r="AD148" s="4"/>
      <c r="AE148" s="4"/>
      <c r="AF148" s="4"/>
      <c r="AI148" s="6"/>
      <c r="AJ148" s="6"/>
      <c r="AK148" s="3"/>
      <c r="AL148" s="3"/>
      <c r="AM148" s="3"/>
      <c r="AN148" s="5"/>
      <c r="AO148" s="3"/>
      <c r="AP148" s="6"/>
      <c r="AQ148" s="6"/>
      <c r="AR148" s="3"/>
      <c r="AS148" s="5"/>
      <c r="AT148" s="5"/>
      <c r="AU148" s="5"/>
    </row>
    <row r="149" spans="10:47" x14ac:dyDescent="0.25">
      <c r="J149" s="2"/>
      <c r="K149" s="4"/>
      <c r="L149" s="5"/>
      <c r="M149" s="3"/>
      <c r="N149" s="4"/>
      <c r="O149" s="4"/>
      <c r="P149" s="4"/>
      <c r="Q149" s="4"/>
      <c r="R149" s="4"/>
      <c r="S149" s="3"/>
      <c r="T149" s="3"/>
      <c r="U149" s="3"/>
      <c r="V149" s="3"/>
      <c r="W149" s="3"/>
      <c r="X149" s="2"/>
      <c r="Y149" s="6"/>
      <c r="Z149" s="6"/>
      <c r="AA149" s="6"/>
      <c r="AB149" s="6"/>
      <c r="AC149" s="6"/>
      <c r="AD149" s="4"/>
      <c r="AE149" s="4"/>
      <c r="AF149" s="4"/>
      <c r="AG149" s="4"/>
      <c r="AI149" s="6"/>
      <c r="AJ149" s="6"/>
      <c r="AK149" s="3"/>
      <c r="AL149" s="3"/>
      <c r="AM149" s="3"/>
      <c r="AN149" s="5"/>
      <c r="AO149" s="3"/>
      <c r="AP149" s="6"/>
      <c r="AQ149" s="6"/>
      <c r="AR149" s="3"/>
      <c r="AS149" s="5"/>
      <c r="AT149" s="5"/>
      <c r="AU149" s="5"/>
    </row>
    <row r="150" spans="10:47" x14ac:dyDescent="0.25">
      <c r="J150" s="2"/>
      <c r="K150" s="4"/>
      <c r="L150" s="5"/>
      <c r="M150" s="4"/>
      <c r="N150" s="4"/>
      <c r="O150" s="4"/>
      <c r="P150" s="4"/>
      <c r="Q150" s="4"/>
      <c r="R150" s="4"/>
      <c r="S150" s="3"/>
      <c r="T150" s="3"/>
      <c r="U150" s="3"/>
      <c r="V150" s="3"/>
      <c r="W150" s="3"/>
      <c r="X150" s="2"/>
      <c r="Y150" s="2"/>
      <c r="Z150" s="6"/>
      <c r="AA150" s="6"/>
      <c r="AB150" s="6"/>
      <c r="AC150" s="6"/>
      <c r="AD150" s="4"/>
      <c r="AE150" s="4"/>
      <c r="AF150" s="4"/>
      <c r="AG150" s="4"/>
      <c r="AI150" s="6"/>
      <c r="AJ150" s="6"/>
      <c r="AK150" s="3"/>
      <c r="AL150" s="3"/>
      <c r="AM150" s="3"/>
      <c r="AN150" s="3"/>
      <c r="AO150" s="3"/>
      <c r="AP150" s="2"/>
      <c r="AQ150" s="6"/>
      <c r="AR150" s="3"/>
      <c r="AS150" s="5"/>
      <c r="AT150" s="5"/>
      <c r="AU150" s="5"/>
    </row>
    <row r="151" spans="10:47" x14ac:dyDescent="0.25">
      <c r="J151" s="2"/>
      <c r="K151" s="4"/>
      <c r="L151" s="5"/>
      <c r="M151" s="4"/>
      <c r="N151" s="4"/>
      <c r="O151" s="4"/>
      <c r="P151" s="4"/>
      <c r="Q151" s="4"/>
      <c r="R151" s="4"/>
      <c r="S151" s="3"/>
      <c r="T151" s="3"/>
      <c r="U151" s="3"/>
      <c r="V151" s="3"/>
      <c r="W151" s="3"/>
      <c r="X151" s="2"/>
      <c r="Y151" s="2"/>
      <c r="Z151" s="6"/>
      <c r="AA151" s="6"/>
      <c r="AB151" s="6"/>
      <c r="AC151" s="6"/>
      <c r="AD151" s="4"/>
      <c r="AE151" s="4"/>
      <c r="AF151" s="4"/>
      <c r="AG151" s="4"/>
      <c r="AI151" s="6"/>
      <c r="AJ151" s="6"/>
      <c r="AK151" s="3"/>
      <c r="AL151" s="3"/>
      <c r="AM151" s="3"/>
      <c r="AN151" s="3"/>
      <c r="AO151" s="3"/>
      <c r="AP151" s="2"/>
      <c r="AQ151" s="6"/>
      <c r="AR151" s="3"/>
      <c r="AS151" s="5"/>
      <c r="AT151" s="5"/>
      <c r="AU151" s="5"/>
    </row>
    <row r="152" spans="10:47" x14ac:dyDescent="0.25">
      <c r="J152" s="2"/>
      <c r="K152" s="4"/>
      <c r="L152" s="5"/>
      <c r="M152" s="4"/>
      <c r="N152" s="4"/>
      <c r="O152" s="4"/>
      <c r="P152" s="4"/>
      <c r="Q152" s="4"/>
      <c r="R152" s="4"/>
      <c r="S152" s="3"/>
      <c r="T152" s="3"/>
      <c r="U152" s="3"/>
      <c r="V152" s="3"/>
      <c r="W152" s="3"/>
      <c r="X152" s="2"/>
      <c r="Y152" s="6"/>
      <c r="Z152" s="6"/>
      <c r="AA152" s="6"/>
      <c r="AB152" s="6"/>
      <c r="AC152" s="6"/>
      <c r="AD152" s="4"/>
      <c r="AE152" s="4"/>
      <c r="AF152" s="4"/>
      <c r="AG152" s="4"/>
      <c r="AI152" s="6"/>
      <c r="AJ152" s="6"/>
      <c r="AK152" s="3"/>
      <c r="AL152" s="3"/>
      <c r="AM152" s="3"/>
      <c r="AN152" s="5"/>
      <c r="AO152" s="3"/>
      <c r="AP152" s="2"/>
      <c r="AQ152" s="6"/>
      <c r="AR152" s="3"/>
      <c r="AS152" s="5"/>
      <c r="AT152" s="5"/>
      <c r="AU152" s="5"/>
    </row>
    <row r="153" spans="10:47" x14ac:dyDescent="0.25">
      <c r="J153" s="2"/>
      <c r="K153" s="4"/>
      <c r="L153" s="5"/>
      <c r="M153" s="4"/>
      <c r="N153" s="4"/>
      <c r="O153" s="4"/>
      <c r="P153" s="4"/>
      <c r="Q153" s="4"/>
      <c r="R153" s="4"/>
      <c r="S153" s="3"/>
      <c r="T153" s="3"/>
      <c r="U153" s="3"/>
      <c r="V153" s="3"/>
      <c r="W153" s="3"/>
      <c r="X153" s="2"/>
      <c r="Y153" s="6"/>
      <c r="Z153" s="6"/>
      <c r="AA153" s="6"/>
      <c r="AB153" s="6"/>
      <c r="AC153" s="6"/>
      <c r="AD153" s="4"/>
      <c r="AE153" s="4"/>
      <c r="AF153" s="4"/>
      <c r="AG153" s="3"/>
      <c r="AH153" s="3"/>
      <c r="AI153" s="6"/>
      <c r="AJ153" s="6"/>
      <c r="AK153" s="3"/>
      <c r="AL153" s="3"/>
      <c r="AM153" s="3"/>
      <c r="AN153" s="5"/>
      <c r="AO153" s="3"/>
      <c r="AP153" s="6"/>
      <c r="AQ153" s="6"/>
      <c r="AR153" s="3"/>
      <c r="AS153" s="5"/>
      <c r="AT153" s="5"/>
      <c r="AU153" s="5"/>
    </row>
    <row r="154" spans="10:47" x14ac:dyDescent="0.25">
      <c r="J154" s="2"/>
      <c r="K154" s="4"/>
      <c r="L154" s="5"/>
      <c r="M154" s="4"/>
      <c r="N154" s="4"/>
      <c r="O154" s="4"/>
      <c r="P154" s="4"/>
      <c r="Q154" s="4"/>
      <c r="R154" s="4"/>
      <c r="S154" s="3"/>
      <c r="T154" s="3"/>
      <c r="U154" s="3"/>
      <c r="V154" s="3"/>
      <c r="W154" s="3"/>
      <c r="X154" s="2"/>
      <c r="Y154" s="6"/>
      <c r="Z154" s="6"/>
      <c r="AA154" s="6"/>
      <c r="AB154" s="6"/>
      <c r="AC154" s="6"/>
      <c r="AD154" s="4"/>
      <c r="AE154" s="4"/>
      <c r="AF154" s="4"/>
      <c r="AG154" s="4"/>
      <c r="AI154" s="6"/>
      <c r="AJ154" s="6"/>
      <c r="AK154" s="3"/>
      <c r="AL154" s="3"/>
      <c r="AM154" s="3"/>
      <c r="AN154" s="5"/>
      <c r="AO154" s="3"/>
      <c r="AP154" s="2"/>
      <c r="AQ154" s="6"/>
      <c r="AR154" s="3"/>
      <c r="AS154" s="5"/>
      <c r="AT154" s="5"/>
      <c r="AU154" s="5"/>
    </row>
    <row r="155" spans="10:47" x14ac:dyDescent="0.25">
      <c r="J155" s="2"/>
      <c r="K155" s="4"/>
      <c r="L155" s="5"/>
      <c r="M155" s="4"/>
      <c r="N155" s="4"/>
      <c r="O155" s="4"/>
      <c r="P155" s="4"/>
      <c r="Q155" s="4"/>
      <c r="R155" s="4"/>
      <c r="S155" s="3"/>
      <c r="T155" s="3"/>
      <c r="U155" s="3"/>
      <c r="V155" s="3"/>
      <c r="W155" s="3"/>
      <c r="X155" s="2"/>
      <c r="Y155" s="6"/>
      <c r="Z155" s="6"/>
      <c r="AA155" s="6"/>
      <c r="AB155" s="6"/>
      <c r="AC155" s="6"/>
      <c r="AD155" s="4"/>
      <c r="AE155" s="4"/>
      <c r="AF155" s="4"/>
      <c r="AG155" s="3"/>
      <c r="AI155" s="6"/>
      <c r="AJ155" s="6"/>
      <c r="AK155" s="3"/>
      <c r="AL155" s="3"/>
      <c r="AM155" s="3"/>
      <c r="AN155" s="5"/>
      <c r="AO155" s="3"/>
      <c r="AP155" s="2"/>
      <c r="AQ155" s="6"/>
      <c r="AR155" s="3"/>
      <c r="AS155" s="5"/>
      <c r="AT155" s="5"/>
      <c r="AU155" s="5"/>
    </row>
    <row r="156" spans="10:47" x14ac:dyDescent="0.25">
      <c r="J156" s="2"/>
      <c r="K156" s="4"/>
      <c r="L156" s="5"/>
      <c r="M156" s="4"/>
      <c r="N156" s="4"/>
      <c r="O156" s="4"/>
      <c r="P156" s="4"/>
      <c r="Q156" s="4"/>
      <c r="R156" s="4"/>
      <c r="S156" s="3"/>
      <c r="T156" s="3"/>
      <c r="U156" s="3"/>
      <c r="V156" s="3"/>
      <c r="W156" s="3"/>
      <c r="X156" s="2"/>
      <c r="Y156" s="2"/>
      <c r="Z156" s="6"/>
      <c r="AA156" s="6"/>
      <c r="AB156" s="6"/>
      <c r="AC156" s="6"/>
      <c r="AD156" s="4"/>
      <c r="AE156" s="4"/>
      <c r="AF156" s="4"/>
      <c r="AG156" s="4"/>
      <c r="AI156" s="6"/>
      <c r="AJ156" s="6"/>
      <c r="AK156" s="3"/>
      <c r="AL156" s="3"/>
      <c r="AM156" s="3"/>
      <c r="AN156" s="3"/>
      <c r="AO156" s="3"/>
      <c r="AP156" s="2"/>
      <c r="AQ156" s="6"/>
      <c r="AR156" s="3"/>
      <c r="AS156" s="5"/>
      <c r="AT156" s="5"/>
      <c r="AU156" s="5"/>
    </row>
    <row r="157" spans="10:47" x14ac:dyDescent="0.25">
      <c r="J157" s="2"/>
      <c r="K157" s="4"/>
      <c r="L157" s="5"/>
      <c r="M157" s="4"/>
      <c r="N157" s="4"/>
      <c r="O157" s="4"/>
      <c r="P157" s="4"/>
      <c r="Q157" s="4"/>
      <c r="R157" s="4"/>
      <c r="S157" s="3"/>
      <c r="T157" s="3"/>
      <c r="U157" s="3"/>
      <c r="V157" s="3"/>
      <c r="W157" s="3"/>
      <c r="X157" s="2"/>
      <c r="Y157" s="6"/>
      <c r="Z157" s="6"/>
      <c r="AA157" s="6"/>
      <c r="AB157" s="6"/>
      <c r="AC157" s="6"/>
      <c r="AD157" s="4"/>
      <c r="AE157" s="4"/>
      <c r="AF157" s="4"/>
      <c r="AG157" s="4"/>
      <c r="AI157" s="6"/>
      <c r="AJ157" s="6"/>
      <c r="AK157" s="3"/>
      <c r="AL157" s="3"/>
      <c r="AM157" s="3"/>
      <c r="AN157" s="5"/>
      <c r="AO157" s="3"/>
      <c r="AP157" s="2"/>
      <c r="AQ157" s="6"/>
      <c r="AR157" s="3"/>
      <c r="AS157" s="5"/>
      <c r="AT157" s="5"/>
      <c r="AU157" s="5"/>
    </row>
    <row r="158" spans="10:47" x14ac:dyDescent="0.25">
      <c r="J158" s="2"/>
      <c r="K158" s="4"/>
      <c r="L158" s="5"/>
      <c r="M158" s="4"/>
      <c r="N158" s="4"/>
      <c r="O158" s="4"/>
      <c r="P158" s="4"/>
      <c r="Q158" s="4"/>
      <c r="R158" s="4"/>
      <c r="S158" s="3"/>
      <c r="T158" s="3"/>
      <c r="U158" s="3"/>
      <c r="V158" s="3"/>
      <c r="W158" s="3"/>
      <c r="X158" s="2"/>
      <c r="Y158" s="6"/>
      <c r="Z158" s="6"/>
      <c r="AA158" s="6"/>
      <c r="AB158" s="6"/>
      <c r="AC158" s="6"/>
      <c r="AD158" s="4"/>
      <c r="AE158" s="4"/>
      <c r="AF158" s="4"/>
      <c r="AG158" s="3"/>
      <c r="AI158" s="2"/>
      <c r="AJ158" s="6"/>
      <c r="AK158" s="3"/>
      <c r="AL158" s="3"/>
      <c r="AM158" s="3"/>
      <c r="AN158" s="5"/>
      <c r="AO158" s="3"/>
      <c r="AP158" s="6"/>
      <c r="AQ158" s="6"/>
      <c r="AR158" s="3"/>
      <c r="AS158" s="5"/>
      <c r="AT158" s="5"/>
      <c r="AU158" s="5"/>
    </row>
    <row r="159" spans="10:47" x14ac:dyDescent="0.25">
      <c r="J159" s="2"/>
      <c r="K159" s="4"/>
      <c r="L159" s="5"/>
      <c r="M159" s="4"/>
      <c r="N159" s="4"/>
      <c r="O159" s="4"/>
      <c r="P159" s="4"/>
      <c r="Q159" s="4"/>
      <c r="R159" s="4"/>
      <c r="S159" s="3"/>
      <c r="T159" s="3"/>
      <c r="U159" s="3"/>
      <c r="V159" s="3"/>
      <c r="W159" s="3"/>
      <c r="X159" s="2"/>
      <c r="Y159" s="6"/>
      <c r="Z159" s="6"/>
      <c r="AA159" s="6"/>
      <c r="AB159" s="6"/>
      <c r="AC159" s="6"/>
      <c r="AD159" s="4"/>
      <c r="AE159" s="4"/>
      <c r="AF159" s="4"/>
      <c r="AG159" s="3"/>
      <c r="AI159" s="6"/>
      <c r="AJ159" s="6"/>
      <c r="AK159" s="3"/>
      <c r="AL159" s="3"/>
      <c r="AM159" s="3"/>
      <c r="AN159" s="5"/>
      <c r="AO159" s="3"/>
      <c r="AP159" s="2"/>
      <c r="AQ159" s="6"/>
      <c r="AR159" s="3"/>
      <c r="AS159" s="5"/>
      <c r="AT159" s="5"/>
      <c r="AU159" s="5"/>
    </row>
    <row r="160" spans="10:47" x14ac:dyDescent="0.25">
      <c r="J160" s="2"/>
      <c r="K160" s="4"/>
      <c r="L160" s="5"/>
      <c r="M160" s="4"/>
      <c r="N160" s="4"/>
      <c r="O160" s="4"/>
      <c r="P160" s="4"/>
      <c r="Q160" s="4"/>
      <c r="R160" s="4"/>
      <c r="S160" s="3"/>
      <c r="T160" s="3"/>
      <c r="U160" s="3"/>
      <c r="V160" s="3"/>
      <c r="W160" s="3"/>
      <c r="X160" s="2"/>
      <c r="Y160" s="6"/>
      <c r="Z160" s="6"/>
      <c r="AA160" s="6"/>
      <c r="AB160" s="6"/>
      <c r="AC160" s="6"/>
      <c r="AD160" s="4"/>
      <c r="AE160" s="4"/>
      <c r="AF160" s="4"/>
      <c r="AG160" s="3"/>
      <c r="AI160" s="6"/>
      <c r="AJ160" s="6"/>
      <c r="AK160" s="3"/>
      <c r="AL160" s="3"/>
      <c r="AM160" s="3"/>
      <c r="AN160" s="5"/>
      <c r="AO160" s="3"/>
      <c r="AP160" s="2"/>
      <c r="AQ160" s="6"/>
      <c r="AR160" s="3"/>
      <c r="AS160" s="5"/>
      <c r="AT160" s="5"/>
      <c r="AU160" s="5"/>
    </row>
    <row r="161" spans="10:47" x14ac:dyDescent="0.25">
      <c r="J161" s="2"/>
      <c r="K161" s="4"/>
      <c r="L161" s="5"/>
      <c r="M161" s="4"/>
      <c r="N161" s="4"/>
      <c r="O161" s="4"/>
      <c r="P161" s="4"/>
      <c r="Q161" s="4"/>
      <c r="R161" s="4"/>
      <c r="S161" s="3"/>
      <c r="T161" s="3"/>
      <c r="U161" s="3"/>
      <c r="V161" s="3"/>
      <c r="W161" s="3"/>
      <c r="X161" s="2"/>
      <c r="Y161" s="2"/>
      <c r="Z161" s="6"/>
      <c r="AA161" s="6"/>
      <c r="AB161" s="6"/>
      <c r="AC161" s="6"/>
      <c r="AD161" s="4"/>
      <c r="AE161" s="4"/>
      <c r="AF161" s="4"/>
      <c r="AG161" s="4"/>
      <c r="AI161" s="6"/>
      <c r="AJ161" s="6"/>
      <c r="AK161" s="3"/>
      <c r="AL161" s="3"/>
      <c r="AM161" s="3"/>
      <c r="AN161" s="3"/>
      <c r="AO161" s="3"/>
      <c r="AP161" s="2"/>
      <c r="AQ161" s="6"/>
      <c r="AR161" s="3"/>
      <c r="AS161" s="5"/>
      <c r="AT161" s="5"/>
      <c r="AU161" s="5"/>
    </row>
    <row r="162" spans="10:47" x14ac:dyDescent="0.25">
      <c r="J162" s="2"/>
      <c r="K162" s="4"/>
      <c r="L162" s="5"/>
      <c r="M162" s="4"/>
      <c r="N162" s="4"/>
      <c r="O162" s="4"/>
      <c r="P162" s="4"/>
      <c r="Q162" s="4"/>
      <c r="R162" s="4"/>
      <c r="S162" s="3"/>
      <c r="T162" s="3"/>
      <c r="U162" s="3"/>
      <c r="V162" s="3"/>
      <c r="W162" s="3"/>
      <c r="X162" s="2"/>
      <c r="Y162" s="6"/>
      <c r="Z162" s="6"/>
      <c r="AA162" s="6"/>
      <c r="AB162" s="6"/>
      <c r="AC162" s="6"/>
      <c r="AD162" s="4"/>
      <c r="AE162" s="4"/>
      <c r="AF162" s="4"/>
      <c r="AG162" s="4"/>
      <c r="AI162" s="6"/>
      <c r="AJ162" s="6"/>
      <c r="AK162" s="3"/>
      <c r="AL162" s="3"/>
      <c r="AM162" s="3"/>
      <c r="AN162" s="5"/>
      <c r="AO162" s="3"/>
      <c r="AP162" s="2"/>
      <c r="AQ162" s="6"/>
      <c r="AR162" s="3"/>
      <c r="AS162" s="5"/>
      <c r="AT162" s="5"/>
      <c r="AU162" s="5"/>
    </row>
    <row r="163" spans="10:47" x14ac:dyDescent="0.25">
      <c r="J163" s="2"/>
      <c r="K163" s="4"/>
      <c r="L163" s="5"/>
      <c r="M163" s="4"/>
      <c r="N163" s="4"/>
      <c r="O163" s="4"/>
      <c r="P163" s="4"/>
      <c r="Q163" s="4"/>
      <c r="R163" s="4"/>
      <c r="S163" s="3"/>
      <c r="T163" s="3"/>
      <c r="U163" s="3"/>
      <c r="V163" s="3"/>
      <c r="W163" s="3"/>
      <c r="X163" s="2"/>
      <c r="Y163" s="6"/>
      <c r="Z163" s="6"/>
      <c r="AA163" s="6"/>
      <c r="AB163" s="6"/>
      <c r="AC163" s="6"/>
      <c r="AD163" s="4"/>
      <c r="AE163" s="4"/>
      <c r="AF163" s="4"/>
      <c r="AG163" s="3"/>
      <c r="AI163" s="6"/>
      <c r="AJ163" s="2"/>
      <c r="AK163" s="3"/>
      <c r="AL163" s="3"/>
      <c r="AM163" s="3"/>
      <c r="AN163" s="5"/>
      <c r="AO163" s="3"/>
      <c r="AP163" s="6"/>
      <c r="AQ163" s="6"/>
      <c r="AR163" s="3"/>
      <c r="AS163" s="5"/>
      <c r="AT163" s="5"/>
      <c r="AU163" s="5"/>
    </row>
    <row r="164" spans="10:47" x14ac:dyDescent="0.25">
      <c r="J164" s="2"/>
      <c r="K164" s="4"/>
      <c r="L164" s="5"/>
      <c r="M164" s="4"/>
      <c r="N164" s="4"/>
      <c r="O164" s="4"/>
      <c r="P164" s="4"/>
      <c r="Q164" s="4"/>
      <c r="R164" s="4"/>
      <c r="S164" s="3"/>
      <c r="T164" s="3"/>
      <c r="U164" s="3"/>
      <c r="V164" s="3"/>
      <c r="W164" s="3"/>
      <c r="X164" s="2"/>
      <c r="Y164" s="6"/>
      <c r="Z164" s="6"/>
      <c r="AA164" s="6"/>
      <c r="AB164" s="6"/>
      <c r="AC164" s="6"/>
      <c r="AD164" s="4"/>
      <c r="AE164" s="4"/>
      <c r="AF164" s="4"/>
      <c r="AG164" s="4"/>
      <c r="AI164" s="6"/>
      <c r="AJ164" s="6"/>
      <c r="AK164" s="3"/>
      <c r="AL164" s="3"/>
      <c r="AM164" s="3"/>
      <c r="AN164" s="5"/>
      <c r="AO164" s="3"/>
      <c r="AP164" s="2"/>
      <c r="AQ164" s="6"/>
      <c r="AR164" s="3"/>
      <c r="AS164" s="5"/>
      <c r="AT164" s="5"/>
      <c r="AU164" s="5"/>
    </row>
    <row r="165" spans="10:47" x14ac:dyDescent="0.25">
      <c r="J165" s="2"/>
      <c r="K165" s="4"/>
      <c r="L165" s="5"/>
      <c r="M165" s="4"/>
      <c r="N165" s="4"/>
      <c r="O165" s="4"/>
      <c r="P165" s="4"/>
      <c r="Q165" s="4"/>
      <c r="R165" s="4"/>
      <c r="S165" s="3"/>
      <c r="T165" s="3"/>
      <c r="U165" s="3"/>
      <c r="V165" s="3"/>
      <c r="W165" s="3"/>
      <c r="X165" s="2"/>
      <c r="Y165" s="6"/>
      <c r="Z165" s="6"/>
      <c r="AA165" s="6"/>
      <c r="AB165" s="6"/>
      <c r="AC165" s="6"/>
      <c r="AD165" s="4"/>
      <c r="AE165" s="4"/>
      <c r="AF165" s="4"/>
      <c r="AG165" s="3"/>
      <c r="AI165" s="6"/>
      <c r="AJ165" s="6"/>
      <c r="AK165" s="3"/>
      <c r="AL165" s="3"/>
      <c r="AM165" s="3"/>
      <c r="AN165" s="5"/>
      <c r="AO165" s="3"/>
      <c r="AP165" s="2"/>
      <c r="AQ165" s="6"/>
      <c r="AR165" s="3"/>
      <c r="AS165" s="5"/>
      <c r="AT165" s="5"/>
      <c r="AU165" s="5"/>
    </row>
    <row r="166" spans="10:47" x14ac:dyDescent="0.25">
      <c r="J166" s="2"/>
      <c r="K166" s="4"/>
      <c r="L166" s="5"/>
      <c r="M166" s="4"/>
      <c r="N166" s="4"/>
      <c r="O166" s="4"/>
      <c r="P166" s="4"/>
      <c r="Q166" s="4"/>
      <c r="R166" s="4"/>
      <c r="S166" s="3"/>
      <c r="T166" s="3"/>
      <c r="U166" s="3"/>
      <c r="V166" s="3"/>
      <c r="W166" s="3"/>
      <c r="X166" s="2"/>
      <c r="Y166" s="2"/>
      <c r="Z166" s="6"/>
      <c r="AA166" s="6"/>
      <c r="AB166" s="6"/>
      <c r="AC166" s="6"/>
      <c r="AD166" s="4"/>
      <c r="AE166" s="4"/>
      <c r="AF166" s="4"/>
      <c r="AG166" s="4"/>
      <c r="AI166" s="6"/>
      <c r="AJ166" s="6"/>
      <c r="AK166" s="3"/>
      <c r="AL166" s="3"/>
      <c r="AM166" s="3"/>
      <c r="AN166" s="3"/>
      <c r="AO166" s="3"/>
      <c r="AP166" s="2"/>
      <c r="AQ166" s="6"/>
      <c r="AR166" s="3"/>
      <c r="AS166" s="5"/>
      <c r="AT166" s="5"/>
      <c r="AU166" s="5"/>
    </row>
    <row r="167" spans="10:47" x14ac:dyDescent="0.25">
      <c r="J167" s="2"/>
      <c r="K167" s="4"/>
      <c r="L167" s="5"/>
      <c r="M167" s="4"/>
      <c r="N167" s="4"/>
      <c r="O167" s="4"/>
      <c r="P167" s="4"/>
      <c r="Q167" s="4"/>
      <c r="R167" s="4"/>
      <c r="S167" s="3"/>
      <c r="T167" s="3"/>
      <c r="U167" s="3"/>
      <c r="V167" s="3"/>
      <c r="W167" s="3"/>
      <c r="X167" s="2"/>
      <c r="Y167" s="6"/>
      <c r="Z167" s="6"/>
      <c r="AA167" s="6"/>
      <c r="AB167" s="6"/>
      <c r="AC167" s="6"/>
      <c r="AD167" s="4"/>
      <c r="AE167" s="4"/>
      <c r="AF167" s="4"/>
      <c r="AG167" s="3"/>
      <c r="AI167" s="6"/>
      <c r="AJ167" s="6"/>
      <c r="AK167" s="3"/>
      <c r="AL167" s="3"/>
      <c r="AM167" s="3"/>
      <c r="AN167" s="5"/>
      <c r="AO167" s="3"/>
      <c r="AP167" s="2"/>
      <c r="AQ167" s="6"/>
      <c r="AR167" s="3"/>
      <c r="AS167" s="5"/>
      <c r="AT167" s="5"/>
      <c r="AU167" s="5"/>
    </row>
    <row r="168" spans="10:47" x14ac:dyDescent="0.25">
      <c r="J168" s="2"/>
      <c r="K168" s="4"/>
      <c r="L168" s="5"/>
      <c r="M168" s="4"/>
      <c r="N168" s="4"/>
      <c r="O168" s="4"/>
      <c r="P168" s="4"/>
      <c r="Q168" s="4"/>
      <c r="R168" s="4"/>
      <c r="S168" s="3"/>
      <c r="T168" s="3"/>
      <c r="U168" s="3"/>
      <c r="V168" s="3"/>
      <c r="W168" s="3"/>
      <c r="X168" s="2"/>
      <c r="Y168" s="6"/>
      <c r="Z168" s="6"/>
      <c r="AA168" s="6"/>
      <c r="AB168" s="6"/>
      <c r="AC168" s="6"/>
      <c r="AD168" s="4"/>
      <c r="AE168" s="4"/>
      <c r="AF168" s="4"/>
      <c r="AG168" s="4"/>
      <c r="AH168" s="3"/>
      <c r="AI168" s="6"/>
      <c r="AJ168" s="6"/>
      <c r="AK168" s="3"/>
      <c r="AL168" s="3"/>
      <c r="AM168" s="3"/>
      <c r="AN168" s="5"/>
      <c r="AO168" s="3"/>
      <c r="AP168" s="6"/>
      <c r="AQ168" s="6"/>
      <c r="AR168" s="3"/>
      <c r="AS168" s="5"/>
      <c r="AT168" s="5"/>
      <c r="AU168" s="5"/>
    </row>
    <row r="169" spans="10:47" x14ac:dyDescent="0.25">
      <c r="J169" s="2"/>
      <c r="K169" s="4"/>
      <c r="L169" s="5"/>
      <c r="M169" s="4"/>
      <c r="N169" s="4"/>
      <c r="O169" s="4"/>
      <c r="P169" s="4"/>
      <c r="Q169" s="4"/>
      <c r="R169" s="4"/>
      <c r="S169" s="3"/>
      <c r="T169" s="3"/>
      <c r="U169" s="3"/>
      <c r="V169" s="3"/>
      <c r="W169" s="3"/>
      <c r="X169" s="2"/>
      <c r="Y169" s="6"/>
      <c r="Z169" s="6"/>
      <c r="AA169" s="6"/>
      <c r="AB169" s="6"/>
      <c r="AC169" s="6"/>
      <c r="AD169" s="4"/>
      <c r="AE169" s="4"/>
      <c r="AF169" s="4"/>
      <c r="AG169" s="4"/>
      <c r="AI169" s="6"/>
      <c r="AJ169" s="6"/>
      <c r="AK169" s="3"/>
      <c r="AL169" s="3"/>
      <c r="AM169" s="3"/>
      <c r="AN169" s="5"/>
      <c r="AO169" s="3"/>
      <c r="AP169" s="2"/>
      <c r="AQ169" s="6"/>
      <c r="AR169" s="3"/>
      <c r="AS169" s="5"/>
      <c r="AT169" s="5"/>
      <c r="AU169" s="5"/>
    </row>
    <row r="170" spans="10:47" x14ac:dyDescent="0.25">
      <c r="J170" s="2"/>
      <c r="K170" s="4"/>
      <c r="L170" s="5"/>
      <c r="M170" s="3"/>
      <c r="N170" s="4"/>
      <c r="O170" s="4"/>
      <c r="P170" s="4"/>
      <c r="Q170" s="4"/>
      <c r="R170" s="4"/>
      <c r="S170" s="3"/>
      <c r="T170" s="3"/>
      <c r="U170" s="3"/>
      <c r="V170" s="3"/>
      <c r="W170" s="3"/>
      <c r="X170" s="2"/>
      <c r="Y170" s="2"/>
      <c r="Z170" s="6"/>
      <c r="AA170" s="6"/>
      <c r="AB170" s="6"/>
      <c r="AC170" s="6"/>
      <c r="AD170" s="4"/>
      <c r="AE170" s="4"/>
      <c r="AF170" s="4"/>
      <c r="AG170" s="4"/>
      <c r="AI170" s="6"/>
      <c r="AJ170" s="2"/>
      <c r="AK170" s="3"/>
      <c r="AL170" s="3"/>
      <c r="AM170" s="3"/>
      <c r="AN170" s="3"/>
      <c r="AO170" s="3"/>
      <c r="AP170" s="2"/>
      <c r="AQ170" s="6"/>
      <c r="AR170" s="3"/>
      <c r="AS170" s="5"/>
      <c r="AT170" s="5"/>
      <c r="AU170" s="5"/>
    </row>
    <row r="171" spans="10:47" x14ac:dyDescent="0.25">
      <c r="J171" s="2"/>
      <c r="K171" s="4"/>
      <c r="L171" s="5"/>
      <c r="M171" s="4"/>
      <c r="N171" s="4"/>
      <c r="O171" s="4"/>
      <c r="P171" s="4"/>
      <c r="Q171" s="4"/>
      <c r="R171" s="4"/>
      <c r="S171" s="3"/>
      <c r="T171" s="3"/>
      <c r="U171" s="3"/>
      <c r="V171" s="3"/>
      <c r="W171" s="3"/>
      <c r="X171" s="2"/>
      <c r="Y171" s="6"/>
      <c r="Z171" s="6"/>
      <c r="AA171" s="6"/>
      <c r="AB171" s="6"/>
      <c r="AC171" s="6"/>
      <c r="AD171" s="4"/>
      <c r="AE171" s="4"/>
      <c r="AF171" s="4"/>
      <c r="AG171" s="4"/>
      <c r="AI171" s="6"/>
      <c r="AJ171" s="6"/>
      <c r="AK171" s="3"/>
      <c r="AL171" s="3"/>
      <c r="AM171" s="3"/>
      <c r="AN171" s="5"/>
      <c r="AO171" s="3"/>
      <c r="AP171" s="2"/>
      <c r="AQ171" s="6"/>
      <c r="AR171" s="3"/>
      <c r="AS171" s="5"/>
      <c r="AT171" s="5"/>
      <c r="AU171" s="5"/>
    </row>
    <row r="172" spans="10:47" x14ac:dyDescent="0.25">
      <c r="J172" s="2"/>
      <c r="K172" s="4"/>
      <c r="L172" s="5"/>
      <c r="M172" s="4"/>
      <c r="N172" s="4"/>
      <c r="O172" s="4"/>
      <c r="P172" s="4"/>
      <c r="Q172" s="4"/>
      <c r="R172" s="4"/>
      <c r="S172" s="3"/>
      <c r="T172" s="3"/>
      <c r="U172" s="3"/>
      <c r="V172" s="3"/>
      <c r="W172" s="3"/>
      <c r="X172" s="2"/>
      <c r="Y172" s="6"/>
      <c r="Z172" s="6"/>
      <c r="AA172" s="6"/>
      <c r="AB172" s="6"/>
      <c r="AC172" s="6"/>
      <c r="AD172" s="4"/>
      <c r="AE172" s="4"/>
      <c r="AF172" s="4"/>
      <c r="AG172" s="3"/>
      <c r="AI172" s="6"/>
      <c r="AJ172" s="6"/>
      <c r="AK172" s="3"/>
      <c r="AL172" s="3"/>
      <c r="AM172" s="3"/>
      <c r="AN172" s="5"/>
      <c r="AO172" s="3"/>
      <c r="AP172" s="2"/>
      <c r="AQ172" s="6"/>
      <c r="AR172" s="3"/>
      <c r="AS172" s="5"/>
      <c r="AT172" s="5"/>
      <c r="AU172" s="5"/>
    </row>
    <row r="173" spans="10:47" x14ac:dyDescent="0.25">
      <c r="J173" s="2"/>
      <c r="K173" s="4"/>
      <c r="L173" s="5"/>
      <c r="M173" s="4"/>
      <c r="N173" s="4"/>
      <c r="O173" s="4"/>
      <c r="P173" s="4"/>
      <c r="Q173" s="4"/>
      <c r="R173" s="4"/>
      <c r="S173" s="3"/>
      <c r="T173" s="3"/>
      <c r="U173" s="3"/>
      <c r="V173" s="3"/>
      <c r="W173" s="3"/>
      <c r="X173" s="2"/>
      <c r="Y173" s="6"/>
      <c r="Z173" s="6"/>
      <c r="AA173" s="6"/>
      <c r="AB173" s="6"/>
      <c r="AC173" s="6"/>
      <c r="AD173" s="4"/>
      <c r="AE173" s="4"/>
      <c r="AF173" s="4"/>
      <c r="AG173" s="4"/>
      <c r="AI173" s="6"/>
      <c r="AJ173" s="6"/>
      <c r="AK173" s="3"/>
      <c r="AL173" s="3"/>
      <c r="AM173" s="3"/>
      <c r="AN173" s="5"/>
      <c r="AO173" s="3"/>
      <c r="AP173" s="6"/>
      <c r="AQ173" s="6"/>
      <c r="AR173" s="3"/>
      <c r="AS173" s="5"/>
      <c r="AT173" s="5"/>
      <c r="AU173" s="5"/>
    </row>
    <row r="174" spans="10:47" x14ac:dyDescent="0.25">
      <c r="J174" s="2"/>
      <c r="K174" s="4"/>
      <c r="L174" s="5"/>
      <c r="M174" s="4"/>
      <c r="N174" s="4"/>
      <c r="O174" s="4"/>
      <c r="P174" s="4"/>
      <c r="Q174" s="4"/>
      <c r="R174" s="4"/>
      <c r="S174" s="3"/>
      <c r="T174" s="3"/>
      <c r="U174" s="3"/>
      <c r="V174" s="3"/>
      <c r="W174" s="3"/>
      <c r="X174" s="2"/>
      <c r="Y174" s="6"/>
      <c r="Z174" s="6"/>
      <c r="AA174" s="6"/>
      <c r="AB174" s="6"/>
      <c r="AC174" s="6"/>
      <c r="AD174" s="4"/>
      <c r="AE174" s="4"/>
      <c r="AF174" s="4"/>
      <c r="AG174" s="3"/>
      <c r="AI174" s="6"/>
      <c r="AJ174" s="6"/>
      <c r="AK174" s="3"/>
      <c r="AL174" s="3"/>
      <c r="AM174" s="3"/>
      <c r="AN174" s="5"/>
      <c r="AO174" s="3"/>
      <c r="AP174" s="2"/>
      <c r="AQ174" s="6"/>
      <c r="AR174" s="3"/>
      <c r="AS174" s="5"/>
      <c r="AT174" s="5"/>
      <c r="AU174" s="5"/>
    </row>
    <row r="175" spans="10:47" x14ac:dyDescent="0.25">
      <c r="J175" s="2"/>
      <c r="K175" s="4"/>
      <c r="L175" s="5"/>
      <c r="M175" s="3"/>
      <c r="N175" s="4"/>
      <c r="O175" s="4"/>
      <c r="P175" s="4"/>
      <c r="Q175" s="3"/>
      <c r="R175" s="4"/>
      <c r="S175" s="3"/>
      <c r="T175" s="3"/>
      <c r="U175" s="3"/>
      <c r="V175" s="3"/>
      <c r="W175" s="3"/>
      <c r="X175" s="2"/>
      <c r="Y175" s="2"/>
      <c r="Z175" s="6"/>
      <c r="AA175" s="6"/>
      <c r="AB175" s="6"/>
      <c r="AC175" s="6"/>
      <c r="AD175" s="4"/>
      <c r="AE175" s="4"/>
      <c r="AF175" s="4"/>
      <c r="AG175" s="3"/>
      <c r="AI175" s="6"/>
      <c r="AJ175" s="2"/>
      <c r="AK175" s="3"/>
      <c r="AL175" s="3"/>
      <c r="AM175" s="3"/>
      <c r="AN175" s="3"/>
      <c r="AO175" s="3"/>
      <c r="AP175" s="2"/>
      <c r="AQ175" s="6"/>
      <c r="AR175" s="3"/>
      <c r="AS175" s="5"/>
      <c r="AT175" s="5"/>
      <c r="AU175" s="5"/>
    </row>
    <row r="176" spans="10:47" x14ac:dyDescent="0.25">
      <c r="J176" s="2"/>
      <c r="K176" s="4"/>
      <c r="L176" s="5"/>
      <c r="M176" s="4"/>
      <c r="N176" s="4"/>
      <c r="O176" s="4"/>
      <c r="P176" s="4"/>
      <c r="Q176" s="4"/>
      <c r="R176" s="4"/>
      <c r="S176" s="3"/>
      <c r="T176" s="3"/>
      <c r="U176" s="3"/>
      <c r="V176" s="3"/>
      <c r="W176" s="3"/>
      <c r="X176" s="2"/>
      <c r="Y176" s="6"/>
      <c r="Z176" s="6"/>
      <c r="AA176" s="6"/>
      <c r="AB176" s="6"/>
      <c r="AC176" s="6"/>
      <c r="AD176" s="4"/>
      <c r="AE176" s="4"/>
      <c r="AF176" s="4"/>
      <c r="AG176" s="4"/>
      <c r="AI176" s="6"/>
      <c r="AJ176" s="6"/>
      <c r="AK176" s="3"/>
      <c r="AL176" s="3"/>
      <c r="AM176" s="3"/>
      <c r="AN176" s="5"/>
      <c r="AO176" s="3"/>
      <c r="AP176" s="2"/>
      <c r="AQ176" s="6"/>
      <c r="AR176" s="3"/>
      <c r="AS176" s="5"/>
      <c r="AT176" s="5"/>
      <c r="AU176" s="5"/>
    </row>
    <row r="177" spans="10:47" x14ac:dyDescent="0.25">
      <c r="J177" s="2"/>
      <c r="K177" s="4"/>
      <c r="L177" s="5"/>
      <c r="M177" s="4"/>
      <c r="N177" s="4"/>
      <c r="O177" s="4"/>
      <c r="P177" s="4"/>
      <c r="Q177" s="4"/>
      <c r="R177" s="4"/>
      <c r="S177" s="3"/>
      <c r="T177" s="3"/>
      <c r="U177" s="3"/>
      <c r="V177" s="3"/>
      <c r="W177" s="3"/>
      <c r="X177" s="2"/>
      <c r="Y177" s="6"/>
      <c r="Z177" s="6"/>
      <c r="AA177" s="6"/>
      <c r="AB177" s="6"/>
      <c r="AC177" s="6"/>
      <c r="AD177" s="4"/>
      <c r="AE177" s="4"/>
      <c r="AF177" s="4"/>
      <c r="AG177" s="4"/>
      <c r="AI177" s="6"/>
      <c r="AJ177" s="6"/>
      <c r="AK177" s="3"/>
      <c r="AL177" s="3"/>
      <c r="AM177" s="3"/>
      <c r="AN177" s="5"/>
      <c r="AO177" s="3"/>
      <c r="AP177" s="2"/>
      <c r="AQ177" s="6"/>
      <c r="AR177" s="3"/>
      <c r="AS177" s="5"/>
      <c r="AT177" s="5"/>
      <c r="AU177" s="5"/>
    </row>
    <row r="178" spans="10:47" x14ac:dyDescent="0.25">
      <c r="J178" s="2"/>
      <c r="K178" s="4"/>
      <c r="L178" s="5"/>
      <c r="M178" s="4"/>
      <c r="N178" s="4"/>
      <c r="O178" s="4"/>
      <c r="P178" s="4"/>
      <c r="Q178" s="4"/>
      <c r="R178" s="4"/>
      <c r="S178" s="3"/>
      <c r="T178" s="3"/>
      <c r="U178" s="3"/>
      <c r="V178" s="3"/>
      <c r="W178" s="3"/>
      <c r="X178" s="2"/>
      <c r="Y178" s="2"/>
      <c r="Z178" s="6"/>
      <c r="AA178" s="6"/>
      <c r="AB178" s="6"/>
      <c r="AC178" s="6"/>
      <c r="AD178" s="4"/>
      <c r="AE178" s="4"/>
      <c r="AF178" s="4"/>
      <c r="AG178" s="3"/>
      <c r="AI178" s="6"/>
      <c r="AJ178" s="6"/>
      <c r="AK178" s="3"/>
      <c r="AL178" s="3"/>
      <c r="AM178" s="3"/>
      <c r="AN178" s="3"/>
      <c r="AO178" s="3"/>
      <c r="AP178" s="6"/>
      <c r="AQ178" s="6"/>
      <c r="AR178" s="3"/>
      <c r="AS178" s="5"/>
      <c r="AT178" s="5"/>
      <c r="AU178" s="5"/>
    </row>
    <row r="179" spans="10:47" x14ac:dyDescent="0.25">
      <c r="J179" s="2"/>
      <c r="K179" s="4"/>
      <c r="L179" s="5"/>
      <c r="M179" s="4"/>
      <c r="N179" s="4"/>
      <c r="O179" s="4"/>
      <c r="P179" s="4"/>
      <c r="Q179" s="4"/>
      <c r="R179" s="4"/>
      <c r="S179" s="3"/>
      <c r="T179" s="3"/>
      <c r="U179" s="3"/>
      <c r="V179" s="3"/>
      <c r="W179" s="3"/>
      <c r="X179" s="2"/>
      <c r="Y179" s="6"/>
      <c r="Z179" s="6"/>
      <c r="AA179" s="6"/>
      <c r="AB179" s="6"/>
      <c r="AC179" s="6"/>
      <c r="AD179" s="4"/>
      <c r="AE179" s="4"/>
      <c r="AF179" s="4"/>
      <c r="AG179" s="3"/>
      <c r="AI179" s="6"/>
      <c r="AJ179" s="6"/>
      <c r="AK179" s="3"/>
      <c r="AL179" s="3"/>
      <c r="AM179" s="3"/>
      <c r="AN179" s="5"/>
      <c r="AO179" s="3"/>
      <c r="AP179" s="2"/>
      <c r="AQ179" s="6"/>
      <c r="AR179" s="3"/>
      <c r="AS179" s="5"/>
      <c r="AT179" s="5"/>
      <c r="AU179" s="5"/>
    </row>
    <row r="180" spans="10:47" x14ac:dyDescent="0.25">
      <c r="J180" s="2"/>
      <c r="K180" s="4"/>
      <c r="L180" s="5"/>
      <c r="M180" s="3"/>
      <c r="N180" s="4"/>
      <c r="O180" s="4"/>
      <c r="P180" s="4"/>
      <c r="Q180" s="4"/>
      <c r="R180" s="4"/>
      <c r="S180" s="3"/>
      <c r="T180" s="3"/>
      <c r="U180" s="3"/>
      <c r="V180" s="3"/>
      <c r="W180" s="3"/>
      <c r="X180" s="2"/>
      <c r="Y180" s="2"/>
      <c r="Z180" s="6"/>
      <c r="AA180" s="6"/>
      <c r="AB180" s="6"/>
      <c r="AC180" s="6"/>
      <c r="AD180" s="4"/>
      <c r="AE180" s="4"/>
      <c r="AF180" s="3"/>
      <c r="AI180" s="2"/>
      <c r="AJ180" s="6"/>
      <c r="AK180" s="3"/>
      <c r="AL180" s="3"/>
      <c r="AM180" s="3"/>
      <c r="AN180" s="3"/>
      <c r="AO180" s="3"/>
      <c r="AP180" s="2"/>
      <c r="AQ180" s="6"/>
      <c r="AR180" s="3"/>
      <c r="AS180" s="5"/>
      <c r="AT180" s="5"/>
      <c r="AU180" s="5"/>
    </row>
    <row r="181" spans="10:47" x14ac:dyDescent="0.25">
      <c r="J181" s="2"/>
      <c r="K181" s="3"/>
      <c r="L181" s="5"/>
      <c r="M181" s="4"/>
      <c r="N181" s="4"/>
      <c r="O181" s="4"/>
      <c r="P181" s="4"/>
      <c r="Q181" s="3"/>
      <c r="R181" s="4"/>
      <c r="S181" s="3"/>
      <c r="T181" s="3"/>
      <c r="U181" s="3"/>
      <c r="V181" s="3"/>
      <c r="W181" s="3"/>
      <c r="X181" s="2"/>
      <c r="Y181" s="2"/>
      <c r="Z181" s="6"/>
      <c r="AA181" s="6"/>
      <c r="AB181" s="6"/>
      <c r="AC181" s="6"/>
      <c r="AD181" s="4"/>
      <c r="AE181" s="4"/>
      <c r="AF181" s="4"/>
      <c r="AG181" s="3"/>
      <c r="AI181" s="6"/>
      <c r="AJ181" s="6"/>
      <c r="AK181" s="3"/>
      <c r="AL181" s="3"/>
      <c r="AM181" s="3"/>
      <c r="AN181" s="3"/>
      <c r="AO181" s="3"/>
      <c r="AP181" s="2"/>
      <c r="AQ181" s="6"/>
      <c r="AR181" s="3"/>
      <c r="AS181" s="5"/>
      <c r="AT181" s="5"/>
      <c r="AU181" s="5"/>
    </row>
    <row r="182" spans="10:47" x14ac:dyDescent="0.25">
      <c r="J182" s="2"/>
      <c r="K182" s="4"/>
      <c r="L182" s="5"/>
      <c r="M182" s="4"/>
      <c r="N182" s="4"/>
      <c r="O182" s="4"/>
      <c r="P182" s="4"/>
      <c r="Q182" s="4"/>
      <c r="R182" s="4"/>
      <c r="S182" s="3"/>
      <c r="T182" s="3"/>
      <c r="U182" s="3"/>
      <c r="V182" s="3"/>
      <c r="W182" s="3"/>
      <c r="X182" s="2"/>
      <c r="Y182" s="6"/>
      <c r="Z182" s="6"/>
      <c r="AA182" s="6"/>
      <c r="AB182" s="6"/>
      <c r="AC182" s="6"/>
      <c r="AD182" s="4"/>
      <c r="AE182" s="4"/>
      <c r="AF182" s="4"/>
      <c r="AG182" s="3"/>
      <c r="AI182" s="2"/>
      <c r="AJ182" s="6"/>
      <c r="AK182" s="3"/>
      <c r="AL182" s="3"/>
      <c r="AM182" s="3"/>
      <c r="AN182" s="5"/>
      <c r="AO182" s="3"/>
      <c r="AP182" s="2"/>
      <c r="AQ182" s="6"/>
      <c r="AR182" s="3"/>
      <c r="AS182" s="5"/>
      <c r="AT182" s="5"/>
      <c r="AU182" s="5"/>
    </row>
    <row r="183" spans="10:47" x14ac:dyDescent="0.25">
      <c r="J183" s="2"/>
      <c r="K183" s="4"/>
      <c r="L183" s="5"/>
      <c r="M183" s="4"/>
      <c r="N183" s="4"/>
      <c r="O183" s="4"/>
      <c r="P183" s="4"/>
      <c r="Q183" s="3"/>
      <c r="R183" s="4"/>
      <c r="S183" s="3"/>
      <c r="T183" s="3"/>
      <c r="U183" s="3"/>
      <c r="V183" s="3"/>
      <c r="W183" s="3"/>
      <c r="X183" s="2"/>
      <c r="Y183" s="2"/>
      <c r="Z183" s="6"/>
      <c r="AA183" s="6"/>
      <c r="AB183" s="6"/>
      <c r="AC183" s="6"/>
      <c r="AD183" s="4"/>
      <c r="AE183" s="4"/>
      <c r="AF183" s="4"/>
      <c r="AG183" s="3"/>
      <c r="AI183" s="2"/>
      <c r="AJ183" s="2"/>
      <c r="AK183" s="3"/>
      <c r="AL183" s="3"/>
      <c r="AM183" s="3"/>
      <c r="AN183" s="3"/>
      <c r="AO183" s="3"/>
      <c r="AP183" s="6"/>
      <c r="AQ183" s="6"/>
      <c r="AR183" s="3"/>
      <c r="AS183" s="5"/>
      <c r="AT183" s="5"/>
      <c r="AU183" s="5"/>
    </row>
    <row r="184" spans="10:47" x14ac:dyDescent="0.25">
      <c r="J184" s="2"/>
      <c r="K184" s="4"/>
      <c r="L184" s="5"/>
      <c r="M184" s="4"/>
      <c r="N184" s="4"/>
      <c r="O184" s="4"/>
      <c r="P184" s="4"/>
      <c r="Q184" s="4"/>
      <c r="R184" s="4"/>
      <c r="S184" s="3"/>
      <c r="T184" s="3"/>
      <c r="U184" s="3"/>
      <c r="V184" s="3"/>
      <c r="W184" s="3"/>
      <c r="X184" s="2"/>
      <c r="Y184" s="6"/>
      <c r="Z184" s="6"/>
      <c r="AA184" s="6"/>
      <c r="AB184" s="6"/>
      <c r="AC184" s="6"/>
      <c r="AD184" s="4"/>
      <c r="AE184" s="4"/>
      <c r="AF184" s="4"/>
      <c r="AG184" s="3"/>
      <c r="AI184" s="6"/>
      <c r="AJ184" s="6"/>
      <c r="AK184" s="3"/>
      <c r="AL184" s="3"/>
      <c r="AM184" s="3"/>
      <c r="AN184" s="5"/>
      <c r="AO184" s="3"/>
      <c r="AP184" s="2"/>
      <c r="AQ184" s="6"/>
      <c r="AR184" s="3"/>
      <c r="AS184" s="5"/>
      <c r="AT184" s="5"/>
      <c r="AU184" s="5"/>
    </row>
    <row r="185" spans="10:47" x14ac:dyDescent="0.25">
      <c r="J185" s="2"/>
      <c r="K185" s="4"/>
      <c r="L185" s="5"/>
      <c r="M185" s="3"/>
      <c r="N185" s="4"/>
      <c r="O185" s="4"/>
      <c r="P185" s="4"/>
      <c r="Q185" s="3"/>
      <c r="R185" s="4"/>
      <c r="S185" s="3"/>
      <c r="T185" s="3"/>
      <c r="U185" s="3"/>
      <c r="V185" s="3"/>
      <c r="W185" s="3"/>
      <c r="X185" s="2"/>
      <c r="Y185" s="2"/>
      <c r="Z185" s="6"/>
      <c r="AA185" s="6"/>
      <c r="AB185" s="6"/>
      <c r="AC185" s="6"/>
      <c r="AD185" s="4"/>
      <c r="AE185" s="4"/>
      <c r="AF185" s="4"/>
      <c r="AI185" s="2"/>
      <c r="AJ185" s="2"/>
      <c r="AK185" s="3"/>
      <c r="AL185" s="3"/>
      <c r="AM185" s="3"/>
      <c r="AN185" s="3"/>
      <c r="AO185" s="3"/>
      <c r="AP185" s="2"/>
      <c r="AQ185" s="6"/>
      <c r="AR185" s="3"/>
      <c r="AS185" s="5"/>
      <c r="AT185" s="5"/>
      <c r="AU185" s="5"/>
    </row>
    <row r="186" spans="10:47" x14ac:dyDescent="0.25">
      <c r="J186" s="2"/>
      <c r="K186" s="4"/>
      <c r="L186" s="5"/>
      <c r="M186" s="3"/>
      <c r="N186" s="4"/>
      <c r="O186" s="4"/>
      <c r="P186" s="4"/>
      <c r="Q186" s="4"/>
      <c r="R186" s="4"/>
      <c r="S186" s="3"/>
      <c r="T186" s="3"/>
      <c r="U186" s="3"/>
      <c r="V186" s="3"/>
      <c r="W186" s="3"/>
      <c r="X186" s="2"/>
      <c r="Y186" s="2"/>
      <c r="Z186" s="6"/>
      <c r="AA186" s="6"/>
      <c r="AB186" s="6"/>
      <c r="AC186" s="6"/>
      <c r="AD186" s="4"/>
      <c r="AE186" s="4"/>
      <c r="AF186" s="4"/>
      <c r="AG186" s="4"/>
      <c r="AI186" s="6"/>
      <c r="AJ186" s="6"/>
      <c r="AK186" s="3"/>
      <c r="AL186" s="3"/>
      <c r="AM186" s="3"/>
      <c r="AN186" s="3"/>
      <c r="AO186" s="3"/>
      <c r="AP186" s="2"/>
      <c r="AQ186" s="6"/>
      <c r="AR186" s="3"/>
      <c r="AS186" s="5"/>
      <c r="AT186" s="5"/>
      <c r="AU186" s="5"/>
    </row>
    <row r="187" spans="10:47" x14ac:dyDescent="0.25">
      <c r="J187" s="2"/>
      <c r="K187" s="4"/>
      <c r="L187" s="5"/>
      <c r="M187" s="4"/>
      <c r="N187" s="4"/>
      <c r="O187" s="4"/>
      <c r="P187" s="4"/>
      <c r="Q187" s="3"/>
      <c r="R187" s="4"/>
      <c r="S187" s="3"/>
      <c r="T187" s="3"/>
      <c r="U187" s="3"/>
      <c r="V187" s="3"/>
      <c r="W187" s="3"/>
      <c r="X187" s="2"/>
      <c r="Y187" s="2"/>
      <c r="Z187" s="6"/>
      <c r="AA187" s="6"/>
      <c r="AB187" s="6"/>
      <c r="AC187" s="6"/>
      <c r="AD187" s="4"/>
      <c r="AE187" s="4"/>
      <c r="AF187" s="4"/>
      <c r="AG187" s="3"/>
      <c r="AI187" s="2"/>
      <c r="AJ187" s="6"/>
      <c r="AK187" s="3"/>
      <c r="AL187" s="3"/>
      <c r="AM187" s="3"/>
      <c r="AN187" s="3"/>
      <c r="AO187" s="3"/>
      <c r="AP187" s="2"/>
      <c r="AQ187" s="6"/>
      <c r="AR187" s="3"/>
      <c r="AS187" s="5"/>
      <c r="AT187" s="5"/>
      <c r="AU187" s="5"/>
    </row>
    <row r="188" spans="10:47" x14ac:dyDescent="0.25">
      <c r="J188" s="2"/>
      <c r="K188" s="4"/>
      <c r="L188" s="5"/>
      <c r="M188" s="4"/>
      <c r="N188" s="3"/>
      <c r="O188" s="3"/>
      <c r="P188" s="3"/>
      <c r="Q188" s="4"/>
      <c r="R188" s="4"/>
      <c r="S188" s="3"/>
      <c r="T188" s="3"/>
      <c r="U188" s="3"/>
      <c r="V188" s="3"/>
      <c r="W188" s="3"/>
      <c r="X188" s="2"/>
      <c r="Y188" s="2"/>
      <c r="Z188" s="6"/>
      <c r="AA188" s="6"/>
      <c r="AB188" s="6"/>
      <c r="AC188" s="6"/>
      <c r="AD188" s="4"/>
      <c r="AE188" s="4"/>
      <c r="AF188" s="4"/>
      <c r="AG188" s="3"/>
      <c r="AI188" s="2"/>
      <c r="AJ188" s="6"/>
      <c r="AK188" s="3"/>
      <c r="AL188" s="3"/>
      <c r="AM188" s="3"/>
      <c r="AN188" s="3"/>
      <c r="AO188" s="3"/>
      <c r="AP188" s="6"/>
      <c r="AQ188" s="6"/>
      <c r="AR188" s="3"/>
      <c r="AS188" s="5"/>
      <c r="AT188" s="5"/>
      <c r="AU188" s="5"/>
    </row>
    <row r="189" spans="10:47" x14ac:dyDescent="0.25">
      <c r="J189" s="2"/>
      <c r="K189" s="4"/>
      <c r="L189" s="5"/>
      <c r="M189" s="4"/>
      <c r="N189" s="4"/>
      <c r="O189" s="4"/>
      <c r="P189" s="4"/>
      <c r="Q189" s="4"/>
      <c r="R189" s="4"/>
      <c r="S189" s="3"/>
      <c r="T189" s="3"/>
      <c r="U189" s="3"/>
      <c r="V189" s="3"/>
      <c r="W189" s="3"/>
      <c r="X189" s="2"/>
      <c r="Y189" s="6"/>
      <c r="Z189" s="6"/>
      <c r="AA189" s="6"/>
      <c r="AB189" s="6"/>
      <c r="AC189" s="6"/>
      <c r="AD189" s="4"/>
      <c r="AE189" s="4"/>
      <c r="AF189" s="4"/>
      <c r="AG189" s="3"/>
      <c r="AI189" s="2"/>
      <c r="AJ189" s="6"/>
      <c r="AK189" s="3"/>
      <c r="AL189" s="3"/>
      <c r="AM189" s="3"/>
      <c r="AN189" s="5"/>
      <c r="AO189" s="3"/>
      <c r="AP189" s="2"/>
      <c r="AQ189" s="6"/>
      <c r="AR189" s="3"/>
      <c r="AS189" s="5"/>
      <c r="AT189" s="5"/>
      <c r="AU189" s="5"/>
    </row>
    <row r="190" spans="10:47" x14ac:dyDescent="0.25">
      <c r="J190" s="2"/>
      <c r="K190" s="4"/>
      <c r="L190" s="5"/>
      <c r="M190" s="3"/>
      <c r="N190" s="4"/>
      <c r="O190" s="4"/>
      <c r="P190" s="4"/>
      <c r="Q190" s="3"/>
      <c r="R190" s="4"/>
      <c r="S190" s="3"/>
      <c r="T190" s="3"/>
      <c r="U190" s="3"/>
      <c r="V190" s="3"/>
      <c r="W190" s="3"/>
      <c r="X190" s="2"/>
      <c r="Y190" s="6"/>
      <c r="Z190" s="6"/>
      <c r="AA190" s="6"/>
      <c r="AB190" s="6"/>
      <c r="AC190" s="6"/>
      <c r="AD190" s="3"/>
      <c r="AE190" s="4"/>
      <c r="AF190" s="4"/>
      <c r="AI190" s="2"/>
      <c r="AJ190" s="6"/>
      <c r="AK190" s="3"/>
      <c r="AL190" s="3"/>
      <c r="AM190" s="3"/>
      <c r="AN190" s="5"/>
      <c r="AO190" s="3"/>
      <c r="AP190" s="2"/>
      <c r="AQ190" s="6"/>
      <c r="AR190" s="3"/>
      <c r="AS190" s="5"/>
      <c r="AT190" s="5"/>
      <c r="AU190" s="5"/>
    </row>
    <row r="191" spans="10:47" x14ac:dyDescent="0.25">
      <c r="J191" s="2"/>
      <c r="K191" s="4"/>
      <c r="L191" s="5"/>
      <c r="M191" s="3"/>
      <c r="N191" s="4"/>
      <c r="O191" s="4"/>
      <c r="P191" s="4"/>
      <c r="Q191" s="3"/>
      <c r="R191" s="4"/>
      <c r="S191" s="3"/>
      <c r="T191" s="3"/>
      <c r="U191" s="3"/>
      <c r="V191" s="3"/>
      <c r="W191" s="3"/>
      <c r="X191" s="2"/>
      <c r="Y191" s="2"/>
      <c r="Z191" s="6"/>
      <c r="AA191" s="6"/>
      <c r="AB191" s="6"/>
      <c r="AC191" s="6"/>
      <c r="AD191" s="4"/>
      <c r="AE191" s="4"/>
      <c r="AF191" s="4"/>
      <c r="AG191" s="3"/>
      <c r="AI191" s="2"/>
      <c r="AJ191" s="6"/>
      <c r="AK191" s="3"/>
      <c r="AL191" s="3"/>
      <c r="AM191" s="3"/>
      <c r="AN191" s="5"/>
      <c r="AO191" s="3"/>
      <c r="AP191" s="2"/>
      <c r="AQ191" s="6"/>
      <c r="AR191" s="3"/>
      <c r="AS191" s="5"/>
      <c r="AT191" s="5"/>
      <c r="AU191" s="5"/>
    </row>
    <row r="192" spans="10:47" x14ac:dyDescent="0.25">
      <c r="J192" s="2"/>
      <c r="K192" s="4"/>
      <c r="L192" s="5"/>
      <c r="M192" s="4"/>
      <c r="N192" s="4"/>
      <c r="O192" s="4"/>
      <c r="P192" s="4"/>
      <c r="Q192" s="4"/>
      <c r="R192" s="4"/>
      <c r="S192" s="3"/>
      <c r="T192" s="3"/>
      <c r="U192" s="3"/>
      <c r="V192" s="3"/>
      <c r="W192" s="3"/>
      <c r="X192" s="2"/>
      <c r="Y192" s="2"/>
      <c r="Z192" s="6"/>
      <c r="AA192" s="6"/>
      <c r="AB192" s="6"/>
      <c r="AC192" s="6"/>
      <c r="AD192" s="4"/>
      <c r="AE192" s="4"/>
      <c r="AF192" s="4"/>
      <c r="AG192" s="4"/>
      <c r="AI192" s="2"/>
      <c r="AJ192" s="6"/>
      <c r="AK192" s="3"/>
      <c r="AL192" s="3"/>
      <c r="AM192" s="3"/>
      <c r="AN192" s="3"/>
      <c r="AO192" s="3"/>
      <c r="AP192" s="2"/>
      <c r="AQ192" s="6"/>
      <c r="AR192" s="3"/>
      <c r="AS192" s="5"/>
      <c r="AT192" s="5"/>
      <c r="AU192" s="5"/>
    </row>
    <row r="193" spans="10:47" x14ac:dyDescent="0.25">
      <c r="J193" s="2"/>
      <c r="K193" s="3"/>
      <c r="L193" s="5"/>
      <c r="M193" s="3"/>
      <c r="N193" s="3"/>
      <c r="O193" s="3"/>
      <c r="P193" s="3"/>
      <c r="Q193" s="3"/>
      <c r="R193" s="4"/>
      <c r="S193" s="3"/>
      <c r="T193" s="3"/>
      <c r="U193" s="3"/>
      <c r="V193" s="3"/>
      <c r="W193" s="3"/>
      <c r="X193" s="2"/>
      <c r="Y193" s="2"/>
      <c r="Z193" s="6"/>
      <c r="AA193" s="6"/>
      <c r="AB193" s="6"/>
      <c r="AC193" s="6"/>
      <c r="AD193" s="4"/>
      <c r="AE193" s="4"/>
      <c r="AF193" s="4"/>
      <c r="AI193" s="2"/>
      <c r="AJ193" s="6"/>
      <c r="AK193" s="3"/>
      <c r="AL193" s="3"/>
      <c r="AM193" s="3"/>
      <c r="AN193" s="3"/>
      <c r="AO193" s="3"/>
      <c r="AP193" s="6"/>
      <c r="AQ193" s="6"/>
      <c r="AR193" s="3"/>
      <c r="AS193" s="5"/>
      <c r="AT193" s="5"/>
      <c r="AU193" s="5"/>
    </row>
    <row r="194" spans="10:47" x14ac:dyDescent="0.25">
      <c r="J194" s="2"/>
      <c r="K194" s="4"/>
      <c r="L194" s="5"/>
      <c r="M194" s="3"/>
      <c r="N194" s="4"/>
      <c r="O194" s="4"/>
      <c r="P194" s="4"/>
      <c r="Q194" s="4"/>
      <c r="R194" s="4"/>
      <c r="S194" s="3"/>
      <c r="T194" s="3"/>
      <c r="U194" s="3"/>
      <c r="V194" s="3"/>
      <c r="W194" s="3"/>
      <c r="X194" s="2"/>
      <c r="Y194" s="6"/>
      <c r="Z194" s="6"/>
      <c r="AA194" s="6"/>
      <c r="AB194" s="6"/>
      <c r="AC194" s="6"/>
      <c r="AD194" s="4"/>
      <c r="AE194" s="4"/>
      <c r="AF194" s="4"/>
      <c r="AG194" s="3"/>
      <c r="AI194" s="2"/>
      <c r="AJ194" s="6"/>
      <c r="AK194" s="3"/>
      <c r="AL194" s="3"/>
      <c r="AM194" s="3"/>
      <c r="AN194" s="5"/>
      <c r="AO194" s="3"/>
      <c r="AP194" s="2"/>
      <c r="AQ194" s="6"/>
      <c r="AR194" s="3"/>
      <c r="AS194" s="5"/>
      <c r="AT194" s="5"/>
      <c r="AU194" s="5"/>
    </row>
    <row r="195" spans="10:47" x14ac:dyDescent="0.25">
      <c r="J195" s="2"/>
      <c r="K195" s="4"/>
      <c r="L195" s="5"/>
      <c r="M195" s="3"/>
      <c r="N195" s="3"/>
      <c r="O195" s="4"/>
      <c r="P195" s="4"/>
      <c r="Q195" s="3"/>
      <c r="R195" s="4"/>
      <c r="S195" s="3"/>
      <c r="T195" s="3"/>
      <c r="U195" s="3"/>
      <c r="V195" s="3"/>
      <c r="W195" s="3"/>
      <c r="X195" s="2"/>
      <c r="Y195" s="6"/>
      <c r="Z195" s="6"/>
      <c r="AA195" s="6"/>
      <c r="AB195" s="6"/>
      <c r="AC195" s="6"/>
      <c r="AD195" s="4"/>
      <c r="AE195" s="4"/>
      <c r="AF195" s="3"/>
      <c r="AI195" s="2"/>
      <c r="AJ195" s="2"/>
      <c r="AK195" s="3"/>
      <c r="AL195" s="3"/>
      <c r="AM195" s="3"/>
      <c r="AN195" s="5"/>
      <c r="AO195" s="3"/>
      <c r="AP195" s="2"/>
      <c r="AQ195" s="6"/>
      <c r="AR195" s="3"/>
      <c r="AS195" s="5"/>
      <c r="AT195" s="5"/>
      <c r="AU195" s="5"/>
    </row>
    <row r="196" spans="10:47" x14ac:dyDescent="0.25">
      <c r="J196" s="2"/>
      <c r="K196" s="4"/>
      <c r="L196" s="5"/>
      <c r="M196" s="4"/>
      <c r="N196" s="4"/>
      <c r="O196" s="4"/>
      <c r="P196" s="4"/>
      <c r="Q196" s="3"/>
      <c r="R196" s="4"/>
      <c r="S196" s="3"/>
      <c r="T196" s="3"/>
      <c r="U196" s="3"/>
      <c r="V196" s="3"/>
      <c r="W196" s="3"/>
      <c r="X196" s="2"/>
      <c r="Y196" s="2"/>
      <c r="Z196" s="6"/>
      <c r="AA196" s="6"/>
      <c r="AB196" s="6"/>
      <c r="AC196" s="6"/>
      <c r="AD196" s="4"/>
      <c r="AE196" s="4"/>
      <c r="AF196" s="4"/>
      <c r="AG196" s="3"/>
      <c r="AI196" s="2"/>
      <c r="AJ196" s="6"/>
      <c r="AK196" s="3"/>
      <c r="AL196" s="3"/>
      <c r="AM196" s="3"/>
      <c r="AN196" s="3"/>
      <c r="AO196" s="3"/>
      <c r="AP196" s="2"/>
      <c r="AQ196" s="6"/>
      <c r="AR196" s="3"/>
      <c r="AS196" s="5"/>
      <c r="AT196" s="5"/>
      <c r="AU196" s="5"/>
    </row>
    <row r="197" spans="10:47" x14ac:dyDescent="0.25">
      <c r="J197" s="2"/>
      <c r="K197" s="4"/>
      <c r="L197" s="5"/>
      <c r="M197" s="4"/>
      <c r="N197" s="4"/>
      <c r="O197" s="4"/>
      <c r="P197" s="4"/>
      <c r="Q197" s="4"/>
      <c r="R197" s="4"/>
      <c r="S197" s="3"/>
      <c r="T197" s="3"/>
      <c r="U197" s="3"/>
      <c r="V197" s="3"/>
      <c r="W197" s="3"/>
      <c r="X197" s="2"/>
      <c r="Y197" s="2"/>
      <c r="Z197" s="6"/>
      <c r="AA197" s="6"/>
      <c r="AB197" s="6"/>
      <c r="AC197" s="6"/>
      <c r="AD197" s="4"/>
      <c r="AE197" s="4"/>
      <c r="AF197" s="4"/>
      <c r="AG197" s="3"/>
      <c r="AI197" s="2"/>
      <c r="AJ197" s="6"/>
      <c r="AK197" s="3"/>
      <c r="AL197" s="3"/>
      <c r="AM197" s="3"/>
      <c r="AN197" s="3"/>
      <c r="AO197" s="3"/>
      <c r="AP197" s="2"/>
      <c r="AQ197" s="6"/>
      <c r="AR197" s="3"/>
      <c r="AS197" s="5"/>
      <c r="AT197" s="5"/>
      <c r="AU197" s="5"/>
    </row>
    <row r="198" spans="10:47" x14ac:dyDescent="0.25">
      <c r="J198" s="2"/>
      <c r="K198" s="4"/>
      <c r="L198" s="5"/>
      <c r="M198" s="3"/>
      <c r="N198" s="3"/>
      <c r="O198" s="3"/>
      <c r="P198" s="3"/>
      <c r="Q198" s="4"/>
      <c r="R198" s="4"/>
      <c r="S198" s="3"/>
      <c r="T198" s="3"/>
      <c r="U198" s="3"/>
      <c r="V198" s="3"/>
      <c r="W198" s="3"/>
      <c r="X198" s="2"/>
      <c r="Y198" s="2"/>
      <c r="Z198" s="6"/>
      <c r="AA198" s="6"/>
      <c r="AB198" s="6"/>
      <c r="AC198" s="6"/>
      <c r="AD198" s="4"/>
      <c r="AE198" s="4"/>
      <c r="AF198" s="4"/>
      <c r="AI198" s="2"/>
      <c r="AJ198" s="2"/>
      <c r="AK198" s="3"/>
      <c r="AL198" s="3"/>
      <c r="AM198" s="3"/>
      <c r="AN198" s="3"/>
      <c r="AO198" s="3"/>
      <c r="AP198" s="6"/>
      <c r="AQ198" s="6"/>
      <c r="AR198" s="3"/>
      <c r="AS198" s="5"/>
      <c r="AT198" s="5"/>
      <c r="AU198" s="5"/>
    </row>
    <row r="199" spans="10:47" x14ac:dyDescent="0.25">
      <c r="J199" s="2"/>
      <c r="K199" s="4"/>
      <c r="L199" s="5"/>
      <c r="M199" s="4"/>
      <c r="N199" s="4"/>
      <c r="O199" s="4"/>
      <c r="P199" s="4"/>
      <c r="Q199" s="4"/>
      <c r="R199" s="4"/>
      <c r="S199" s="3"/>
      <c r="T199" s="3"/>
      <c r="U199" s="3"/>
      <c r="V199" s="3"/>
      <c r="W199" s="3"/>
      <c r="X199" s="2"/>
      <c r="Y199" s="6"/>
      <c r="Z199" s="6"/>
      <c r="AA199" s="6"/>
      <c r="AB199" s="6"/>
      <c r="AC199" s="6"/>
      <c r="AD199" s="4"/>
      <c r="AE199" s="4"/>
      <c r="AF199" s="4"/>
      <c r="AG199" s="3"/>
      <c r="AI199" s="2"/>
      <c r="AJ199" s="6"/>
      <c r="AK199" s="3"/>
      <c r="AL199" s="3"/>
      <c r="AM199" s="3"/>
      <c r="AN199" s="5"/>
      <c r="AO199" s="3"/>
      <c r="AP199" s="2"/>
      <c r="AQ199" s="2"/>
      <c r="AR199" s="3"/>
      <c r="AS199" s="5"/>
      <c r="AT199" s="5"/>
      <c r="AU199" s="5"/>
    </row>
    <row r="200" spans="10:47" x14ac:dyDescent="0.25">
      <c r="J200" s="2"/>
      <c r="K200" s="4"/>
      <c r="L200" s="5"/>
      <c r="M200" s="3"/>
      <c r="N200" s="3"/>
      <c r="O200" s="4"/>
      <c r="P200" s="4"/>
      <c r="Q200" s="3"/>
      <c r="R200" s="4"/>
      <c r="S200" s="3"/>
      <c r="T200" s="3"/>
      <c r="U200" s="3"/>
      <c r="V200" s="3"/>
      <c r="W200" s="3"/>
      <c r="X200" s="2"/>
      <c r="Y200" s="2"/>
      <c r="Z200" s="6"/>
      <c r="AA200" s="6"/>
      <c r="AB200" s="6"/>
      <c r="AC200" s="6"/>
      <c r="AD200" s="4"/>
      <c r="AE200" s="4"/>
      <c r="AF200" s="4"/>
      <c r="AG200" s="3"/>
      <c r="AI200" s="2"/>
      <c r="AJ200" s="6"/>
      <c r="AK200" s="3"/>
      <c r="AL200" s="3"/>
      <c r="AM200" s="3"/>
      <c r="AN200" s="3"/>
      <c r="AO200" s="3"/>
      <c r="AP200" s="2"/>
      <c r="AQ200" s="6"/>
      <c r="AR200" s="3"/>
      <c r="AS200" s="5"/>
      <c r="AT200" s="5"/>
      <c r="AU200" s="5"/>
    </row>
    <row r="201" spans="10:47" x14ac:dyDescent="0.25">
      <c r="J201" s="2"/>
      <c r="K201" s="4"/>
      <c r="L201" s="5"/>
      <c r="M201" s="3"/>
      <c r="N201" s="4"/>
      <c r="O201" s="4"/>
      <c r="P201" s="4"/>
      <c r="Q201" s="3"/>
      <c r="R201" s="4"/>
      <c r="S201" s="3"/>
      <c r="T201" s="3"/>
      <c r="U201" s="3"/>
      <c r="V201" s="3"/>
      <c r="W201" s="3"/>
      <c r="X201" s="2"/>
      <c r="Y201" s="2"/>
      <c r="Z201" s="6"/>
      <c r="AA201" s="6"/>
      <c r="AB201" s="6"/>
      <c r="AC201" s="6"/>
      <c r="AD201" s="4"/>
      <c r="AE201" s="4"/>
      <c r="AF201" s="4"/>
      <c r="AG201" s="3"/>
      <c r="AI201" s="2"/>
      <c r="AJ201" s="6"/>
      <c r="AK201" s="3"/>
      <c r="AL201" s="3"/>
      <c r="AM201" s="3"/>
      <c r="AN201" s="3"/>
      <c r="AO201" s="3"/>
      <c r="AP201" s="2"/>
      <c r="AQ201" s="6"/>
      <c r="AR201" s="3"/>
      <c r="AS201" s="5"/>
      <c r="AT201" s="5"/>
      <c r="AU201" s="5"/>
    </row>
    <row r="202" spans="10:47" x14ac:dyDescent="0.25">
      <c r="J202" s="2"/>
      <c r="K202" s="4"/>
      <c r="L202" s="5"/>
      <c r="M202" s="3"/>
      <c r="N202" s="4"/>
      <c r="O202" s="4"/>
      <c r="P202" s="4"/>
      <c r="Q202" s="3"/>
      <c r="R202" s="4"/>
      <c r="S202" s="3"/>
      <c r="T202" s="3"/>
      <c r="U202" s="3"/>
      <c r="V202" s="3"/>
      <c r="W202" s="3"/>
      <c r="X202" s="2"/>
      <c r="Y202" s="2"/>
      <c r="Z202" s="6"/>
      <c r="AA202" s="6"/>
      <c r="AB202" s="6"/>
      <c r="AC202" s="6"/>
      <c r="AD202" s="4"/>
      <c r="AE202" s="4"/>
      <c r="AF202" s="4"/>
      <c r="AI202" s="2"/>
      <c r="AJ202" s="6"/>
      <c r="AK202" s="3"/>
      <c r="AL202" s="3"/>
      <c r="AM202" s="3"/>
      <c r="AN202" s="3"/>
      <c r="AO202" s="3"/>
      <c r="AP202" s="2"/>
      <c r="AQ202" s="6"/>
      <c r="AR202" s="3"/>
      <c r="AS202" s="5"/>
      <c r="AT202" s="5"/>
      <c r="AU202" s="5"/>
    </row>
    <row r="203" spans="10:47" x14ac:dyDescent="0.25">
      <c r="J203" s="2"/>
      <c r="K203" s="4"/>
      <c r="L203" s="5"/>
      <c r="M203" s="3"/>
      <c r="N203" s="3"/>
      <c r="O203" s="3"/>
      <c r="P203" s="3"/>
      <c r="Q203" s="3"/>
      <c r="R203" s="4"/>
      <c r="S203" s="3"/>
      <c r="T203" s="3"/>
      <c r="U203" s="3"/>
      <c r="V203" s="3"/>
      <c r="W203" s="3"/>
      <c r="X203" s="2"/>
      <c r="Y203" s="2"/>
      <c r="Z203" s="6"/>
      <c r="AA203" s="6"/>
      <c r="AB203" s="6"/>
      <c r="AC203" s="6"/>
      <c r="AD203" s="4"/>
      <c r="AE203" s="4"/>
      <c r="AF203" s="3"/>
      <c r="AI203" s="2"/>
      <c r="AJ203" s="2"/>
      <c r="AK203" s="3"/>
      <c r="AL203" s="3"/>
      <c r="AM203" s="3"/>
      <c r="AN203" s="3"/>
      <c r="AO203" s="3"/>
      <c r="AP203" s="2"/>
      <c r="AQ203" s="6"/>
      <c r="AR203" s="3"/>
      <c r="AS203" s="5"/>
      <c r="AT203" s="5"/>
      <c r="AU203" s="5"/>
    </row>
    <row r="204" spans="10:47" x14ac:dyDescent="0.25">
      <c r="J204" s="2"/>
      <c r="K204" s="4"/>
      <c r="L204" s="5"/>
      <c r="M204" s="3"/>
      <c r="N204" s="4"/>
      <c r="O204" s="4"/>
      <c r="P204" s="4"/>
      <c r="Q204" s="4"/>
      <c r="R204" s="4"/>
      <c r="S204" s="3"/>
      <c r="T204" s="3"/>
      <c r="U204" s="3"/>
      <c r="V204" s="3"/>
      <c r="W204" s="3"/>
      <c r="X204" s="2"/>
      <c r="Y204" s="6"/>
      <c r="Z204" s="6"/>
      <c r="AA204" s="2"/>
      <c r="AB204" s="6"/>
      <c r="AC204" s="6"/>
      <c r="AD204" s="4"/>
      <c r="AE204" s="4"/>
      <c r="AF204" s="4"/>
      <c r="AI204" s="2"/>
      <c r="AJ204" s="2"/>
      <c r="AK204" s="3"/>
      <c r="AL204" s="3"/>
      <c r="AM204" s="3"/>
      <c r="AN204" s="5"/>
      <c r="AO204" s="3"/>
      <c r="AP204" s="2"/>
      <c r="AQ204" s="6"/>
      <c r="AR204" s="3"/>
      <c r="AS204" s="5"/>
      <c r="AT204" s="5"/>
      <c r="AU204" s="5"/>
    </row>
    <row r="205" spans="10:47" x14ac:dyDescent="0.25">
      <c r="J205" s="2"/>
      <c r="K205" s="4"/>
      <c r="L205" s="5"/>
      <c r="M205" s="3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2"/>
      <c r="Y205" s="2"/>
      <c r="Z205" s="6"/>
      <c r="AA205" s="6"/>
      <c r="AB205" s="6"/>
      <c r="AC205" s="6"/>
      <c r="AD205" s="4"/>
      <c r="AE205" s="4"/>
      <c r="AF205" s="4"/>
      <c r="AI205" s="2"/>
      <c r="AJ205" s="6"/>
      <c r="AK205" s="3"/>
      <c r="AL205" s="3"/>
      <c r="AM205" s="3"/>
      <c r="AN205" s="3"/>
      <c r="AO205" s="3"/>
      <c r="AP205" s="2"/>
      <c r="AQ205" s="6"/>
      <c r="AR205" s="3"/>
      <c r="AS205" s="5"/>
      <c r="AT205" s="5"/>
      <c r="AU205" s="5"/>
    </row>
    <row r="206" spans="10:47" x14ac:dyDescent="0.25">
      <c r="J206" s="2"/>
      <c r="K206" s="4"/>
      <c r="L206" s="5"/>
      <c r="M206" s="3"/>
      <c r="N206" s="4"/>
      <c r="O206" s="4"/>
      <c r="P206" s="4"/>
      <c r="Q206" s="3"/>
      <c r="R206" s="4"/>
      <c r="S206" s="3"/>
      <c r="T206" s="3"/>
      <c r="U206" s="3"/>
      <c r="V206" s="3"/>
      <c r="W206" s="3"/>
      <c r="X206" s="2"/>
      <c r="Y206" s="2"/>
      <c r="Z206" s="6"/>
      <c r="AA206" s="6"/>
      <c r="AB206" s="6"/>
      <c r="AC206" s="6"/>
      <c r="AD206" s="4"/>
      <c r="AE206" s="4"/>
      <c r="AF206" s="4"/>
      <c r="AG206" s="3"/>
      <c r="AI206" s="2"/>
      <c r="AJ206" s="6"/>
      <c r="AK206" s="3"/>
      <c r="AL206" s="3"/>
      <c r="AM206" s="3"/>
      <c r="AN206" s="3"/>
      <c r="AO206" s="3"/>
      <c r="AP206" s="2"/>
      <c r="AQ206" s="6"/>
      <c r="AR206" s="3"/>
      <c r="AS206" s="5"/>
      <c r="AT206" s="5"/>
      <c r="AU206" s="5"/>
    </row>
    <row r="207" spans="10:47" x14ac:dyDescent="0.25">
      <c r="J207" s="2"/>
      <c r="K207" s="4"/>
      <c r="L207" s="5"/>
      <c r="M207" s="3"/>
      <c r="N207" s="4"/>
      <c r="O207" s="4"/>
      <c r="P207" s="4"/>
      <c r="Q207" s="3"/>
      <c r="R207" s="4"/>
      <c r="S207" s="3"/>
      <c r="T207" s="3"/>
      <c r="U207" s="3"/>
      <c r="V207" s="3"/>
      <c r="W207" s="3"/>
      <c r="X207" s="2"/>
      <c r="Y207" s="2"/>
      <c r="Z207" s="6"/>
      <c r="AA207" s="6"/>
      <c r="AB207" s="6"/>
      <c r="AC207" s="6"/>
      <c r="AD207" s="4"/>
      <c r="AE207" s="4"/>
      <c r="AF207" s="4"/>
      <c r="AI207" s="2"/>
      <c r="AJ207" s="2"/>
      <c r="AK207" s="3"/>
      <c r="AL207" s="3"/>
      <c r="AM207" s="3"/>
      <c r="AN207" s="3"/>
      <c r="AO207" s="3"/>
      <c r="AP207" s="2"/>
      <c r="AQ207" s="6"/>
      <c r="AR207" s="3"/>
      <c r="AS207" s="5"/>
      <c r="AT207" s="5"/>
      <c r="AU207" s="5"/>
    </row>
    <row r="208" spans="10:47" x14ac:dyDescent="0.25">
      <c r="J208" s="2"/>
      <c r="K208" s="4"/>
      <c r="L208" s="5"/>
      <c r="M208" s="3"/>
      <c r="N208" s="4"/>
      <c r="O208" s="4"/>
      <c r="P208" s="4"/>
      <c r="Q208" s="3"/>
      <c r="R208" s="4"/>
      <c r="S208" s="3"/>
      <c r="T208" s="3"/>
      <c r="U208" s="3"/>
      <c r="V208" s="3"/>
      <c r="W208" s="3"/>
      <c r="X208" s="2"/>
      <c r="Y208" s="2"/>
      <c r="Z208" s="6"/>
      <c r="AA208" s="6"/>
      <c r="AB208" s="6"/>
      <c r="AC208" s="6"/>
      <c r="AD208" s="4"/>
      <c r="AE208" s="4"/>
      <c r="AF208" s="4"/>
      <c r="AI208" s="2"/>
      <c r="AJ208" s="2"/>
      <c r="AK208" s="3"/>
      <c r="AL208" s="3"/>
      <c r="AM208" s="3"/>
      <c r="AN208" s="3"/>
      <c r="AO208" s="3"/>
      <c r="AP208" s="2"/>
      <c r="AQ208" s="6"/>
      <c r="AR208" s="3"/>
      <c r="AS208" s="5"/>
      <c r="AT208" s="5"/>
      <c r="AU208" s="5"/>
    </row>
    <row r="209" spans="10:47" x14ac:dyDescent="0.25">
      <c r="J209" s="2"/>
      <c r="K209" s="4"/>
      <c r="L209" s="5"/>
      <c r="M209" s="3"/>
      <c r="N209" s="4"/>
      <c r="O209" s="4"/>
      <c r="P209" s="4"/>
      <c r="Q209" s="3"/>
      <c r="R209" s="4"/>
      <c r="S209" s="3"/>
      <c r="T209" s="3"/>
      <c r="U209" s="3"/>
      <c r="V209" s="3"/>
      <c r="W209" s="3"/>
      <c r="X209" s="2"/>
      <c r="Y209" s="6"/>
      <c r="Z209" s="6"/>
      <c r="AA209" s="6"/>
      <c r="AB209" s="6"/>
      <c r="AC209" s="6"/>
      <c r="AD209" s="4"/>
      <c r="AE209" s="4"/>
      <c r="AF209" s="4"/>
      <c r="AI209" s="2"/>
      <c r="AJ209" s="6"/>
      <c r="AK209" s="3"/>
      <c r="AL209" s="3"/>
      <c r="AM209" s="3"/>
      <c r="AN209" s="5"/>
      <c r="AO209" s="3"/>
      <c r="AP209" s="6"/>
      <c r="AQ209" s="6"/>
      <c r="AR209" s="3"/>
      <c r="AS209" s="5"/>
      <c r="AT209" s="5"/>
      <c r="AU209" s="5"/>
    </row>
    <row r="210" spans="10:47" x14ac:dyDescent="0.25">
      <c r="J210" s="2"/>
      <c r="K210" s="4"/>
      <c r="L210" s="5"/>
      <c r="M210" s="3"/>
      <c r="N210" s="3"/>
      <c r="O210" s="3"/>
      <c r="P210" s="3"/>
      <c r="Q210" s="3"/>
      <c r="R210" s="4"/>
      <c r="S210" s="3"/>
      <c r="T210" s="3"/>
      <c r="U210" s="3"/>
      <c r="V210" s="3"/>
      <c r="W210" s="3"/>
      <c r="X210" s="2"/>
      <c r="Y210" s="2"/>
      <c r="Z210" s="6"/>
      <c r="AA210" s="6"/>
      <c r="AB210" s="6"/>
      <c r="AC210" s="6"/>
      <c r="AD210" s="4"/>
      <c r="AE210" s="4"/>
      <c r="AF210" s="4"/>
      <c r="AG210" s="3"/>
      <c r="AI210" s="6"/>
      <c r="AJ210" s="6"/>
      <c r="AK210" s="3"/>
      <c r="AL210" s="3"/>
      <c r="AM210" s="3"/>
      <c r="AN210" s="3"/>
      <c r="AO210" s="3"/>
      <c r="AP210" s="2"/>
      <c r="AQ210" s="6"/>
      <c r="AR210" s="3"/>
      <c r="AS210" s="5"/>
      <c r="AT210" s="5"/>
      <c r="AU210" s="5"/>
    </row>
    <row r="211" spans="10:47" x14ac:dyDescent="0.25">
      <c r="J211" s="2"/>
      <c r="K211" s="4"/>
      <c r="L211" s="5"/>
      <c r="M211" s="3"/>
      <c r="N211" s="4"/>
      <c r="O211" s="4"/>
      <c r="P211" s="4"/>
      <c r="Q211" s="3"/>
      <c r="R211" s="4"/>
      <c r="S211" s="3"/>
      <c r="T211" s="3"/>
      <c r="U211" s="3"/>
      <c r="V211" s="3"/>
      <c r="W211" s="3"/>
      <c r="X211" s="2"/>
      <c r="Y211" s="2"/>
      <c r="Z211" s="6"/>
      <c r="AA211" s="6"/>
      <c r="AB211" s="6"/>
      <c r="AC211" s="6"/>
      <c r="AD211" s="4"/>
      <c r="AE211" s="4"/>
      <c r="AF211" s="3"/>
      <c r="AG211" s="3"/>
      <c r="AI211" s="2"/>
      <c r="AJ211" s="2"/>
      <c r="AK211" s="3"/>
      <c r="AL211" s="3"/>
      <c r="AM211" s="3"/>
      <c r="AN211" s="3"/>
      <c r="AO211" s="3"/>
      <c r="AP211" s="2"/>
      <c r="AQ211" s="6"/>
      <c r="AR211" s="3"/>
      <c r="AS211" s="5"/>
      <c r="AT211" s="5"/>
      <c r="AU211" s="5"/>
    </row>
    <row r="212" spans="10:47" x14ac:dyDescent="0.25">
      <c r="J212" s="2"/>
      <c r="K212" s="4"/>
      <c r="L212" s="5"/>
      <c r="M212" s="3"/>
      <c r="N212" s="4"/>
      <c r="O212" s="4"/>
      <c r="P212" s="4"/>
      <c r="Q212" s="3"/>
      <c r="R212" s="4"/>
      <c r="S212" s="3"/>
      <c r="T212" s="3"/>
      <c r="U212" s="3"/>
      <c r="V212" s="3"/>
      <c r="W212" s="3"/>
      <c r="X212" s="2"/>
      <c r="Y212" s="2"/>
      <c r="Z212" s="6"/>
      <c r="AA212" s="6"/>
      <c r="AB212" s="6"/>
      <c r="AC212" s="6"/>
      <c r="AD212" s="4"/>
      <c r="AE212" s="4"/>
      <c r="AF212" s="4"/>
      <c r="AI212" s="2"/>
      <c r="AJ212" s="2"/>
      <c r="AK212" s="3"/>
      <c r="AL212" s="3"/>
      <c r="AM212" s="3"/>
      <c r="AN212" s="3"/>
      <c r="AO212" s="3"/>
      <c r="AP212" s="2"/>
      <c r="AQ212" s="6"/>
      <c r="AR212" s="3"/>
      <c r="AS212" s="5"/>
      <c r="AT212" s="5"/>
      <c r="AU212" s="5"/>
    </row>
    <row r="213" spans="10:47" x14ac:dyDescent="0.25">
      <c r="J213" s="2"/>
      <c r="K213" s="4"/>
      <c r="L213" s="5"/>
      <c r="M213" s="3"/>
      <c r="N213" s="3"/>
      <c r="O213" s="3"/>
      <c r="P213" s="3"/>
      <c r="Q213" s="3"/>
      <c r="R213" s="4"/>
      <c r="S213" s="3"/>
      <c r="T213" s="3"/>
      <c r="U213" s="3"/>
      <c r="V213" s="3"/>
      <c r="W213" s="3"/>
      <c r="X213" s="2"/>
      <c r="Y213" s="2"/>
      <c r="Z213" s="6"/>
      <c r="AA213" s="6"/>
      <c r="AB213" s="6"/>
      <c r="AC213" s="2"/>
      <c r="AD213" s="4"/>
      <c r="AE213" s="4"/>
      <c r="AF213" s="4"/>
      <c r="AI213" s="2"/>
      <c r="AJ213" s="6"/>
      <c r="AK213" s="3"/>
      <c r="AL213" s="3"/>
      <c r="AM213" s="3"/>
      <c r="AN213" s="3"/>
      <c r="AO213" s="3"/>
      <c r="AP213" s="2"/>
      <c r="AQ213" s="6"/>
      <c r="AR213" s="3"/>
      <c r="AS213" s="5"/>
      <c r="AT213" s="5"/>
      <c r="AU213" s="5"/>
    </row>
    <row r="214" spans="10:47" x14ac:dyDescent="0.25">
      <c r="J214" s="2"/>
      <c r="K214" s="4"/>
      <c r="L214" s="5"/>
      <c r="M214" s="3"/>
      <c r="N214" s="4"/>
      <c r="O214" s="4"/>
      <c r="P214" s="4"/>
      <c r="Q214" s="4"/>
      <c r="R214" s="4"/>
      <c r="S214" s="3"/>
      <c r="T214" s="3"/>
      <c r="U214" s="3"/>
      <c r="V214" s="3"/>
      <c r="W214" s="3"/>
      <c r="X214" s="2"/>
      <c r="Y214" s="6"/>
      <c r="Z214" s="6"/>
      <c r="AA214" s="6"/>
      <c r="AB214" s="6"/>
      <c r="AC214" s="6"/>
      <c r="AD214" s="4"/>
      <c r="AE214" s="4"/>
      <c r="AF214" s="4"/>
      <c r="AG214" s="3"/>
      <c r="AI214" s="2"/>
      <c r="AJ214" s="6"/>
      <c r="AK214" s="3"/>
      <c r="AL214" s="3"/>
      <c r="AM214" s="3"/>
      <c r="AN214" s="5"/>
      <c r="AO214" s="3"/>
      <c r="AP214" s="2"/>
      <c r="AQ214" s="6"/>
      <c r="AR214" s="3"/>
      <c r="AS214" s="5"/>
      <c r="AT214" s="5"/>
      <c r="AU214" s="5"/>
    </row>
    <row r="215" spans="10:47" x14ac:dyDescent="0.25">
      <c r="J215" s="2"/>
      <c r="K215" s="4"/>
      <c r="L215" s="5"/>
      <c r="M215" s="3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2"/>
      <c r="Y215" s="2"/>
      <c r="Z215" s="6"/>
      <c r="AA215" s="6"/>
      <c r="AB215" s="6"/>
      <c r="AC215" s="6"/>
      <c r="AD215" s="4"/>
      <c r="AE215" s="4"/>
      <c r="AF215" s="4"/>
      <c r="AI215" s="2"/>
      <c r="AJ215" s="2"/>
      <c r="AK215" s="3"/>
      <c r="AL215" s="3"/>
      <c r="AM215" s="3"/>
      <c r="AN215" s="3"/>
      <c r="AO215" s="3"/>
      <c r="AP215" s="2"/>
      <c r="AQ215" s="6"/>
      <c r="AR215" s="3"/>
      <c r="AS215" s="5"/>
      <c r="AT215" s="5"/>
      <c r="AU215" s="5"/>
    </row>
    <row r="216" spans="10:47" x14ac:dyDescent="0.25">
      <c r="J216" s="2"/>
      <c r="K216" s="4"/>
      <c r="L216" s="5"/>
      <c r="M216" s="4"/>
      <c r="N216" s="4"/>
      <c r="O216" s="4"/>
      <c r="P216" s="4"/>
      <c r="Q216" s="3"/>
      <c r="R216" s="4"/>
      <c r="S216" s="3"/>
      <c r="T216" s="3"/>
      <c r="U216" s="3"/>
      <c r="V216" s="3"/>
      <c r="W216" s="3"/>
      <c r="X216" s="2"/>
      <c r="Y216" s="2"/>
      <c r="Z216" s="6"/>
      <c r="AA216" s="6"/>
      <c r="AB216" s="6"/>
      <c r="AC216" s="2"/>
      <c r="AD216" s="4"/>
      <c r="AE216" s="4"/>
      <c r="AF216" s="3"/>
      <c r="AI216" s="2"/>
      <c r="AJ216" s="6"/>
      <c r="AK216" s="3"/>
      <c r="AL216" s="3"/>
      <c r="AM216" s="3"/>
      <c r="AN216" s="3"/>
      <c r="AO216" s="3"/>
      <c r="AP216" s="2"/>
      <c r="AQ216" s="6"/>
      <c r="AR216" s="3"/>
      <c r="AS216" s="5"/>
      <c r="AT216" s="5"/>
      <c r="AU216" s="5"/>
    </row>
    <row r="217" spans="10:47" x14ac:dyDescent="0.25">
      <c r="J217" s="2"/>
      <c r="K217" s="4"/>
      <c r="L217" s="5"/>
      <c r="M217" s="3"/>
      <c r="N217" s="4"/>
      <c r="O217" s="4"/>
      <c r="P217" s="4"/>
      <c r="Q217" s="3"/>
      <c r="R217" s="4"/>
      <c r="S217" s="3"/>
      <c r="T217" s="3"/>
      <c r="U217" s="3"/>
      <c r="V217" s="3"/>
      <c r="W217" s="3"/>
      <c r="X217" s="2"/>
      <c r="Y217" s="2"/>
      <c r="Z217" s="6"/>
      <c r="AA217" s="6"/>
      <c r="AB217" s="6"/>
      <c r="AC217" s="6"/>
      <c r="AD217" s="4"/>
      <c r="AE217" s="4"/>
      <c r="AF217" s="4"/>
      <c r="AI217" s="2"/>
      <c r="AJ217" s="2"/>
      <c r="AK217" s="3"/>
      <c r="AL217" s="3"/>
      <c r="AM217" s="3"/>
      <c r="AN217" s="3"/>
      <c r="AO217" s="3"/>
      <c r="AP217" s="2"/>
      <c r="AQ217" s="6"/>
      <c r="AR217" s="3"/>
      <c r="AS217" s="5"/>
      <c r="AT217" s="5"/>
      <c r="AU217" s="5"/>
    </row>
    <row r="218" spans="10:47" x14ac:dyDescent="0.25">
      <c r="J218" s="2"/>
      <c r="K218" s="4"/>
      <c r="L218" s="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"/>
      <c r="Y218" s="2"/>
      <c r="Z218" s="6"/>
      <c r="AA218" s="6"/>
      <c r="AB218" s="6"/>
      <c r="AC218" s="2"/>
      <c r="AD218" s="4"/>
      <c r="AE218" s="4"/>
      <c r="AF218" s="3"/>
      <c r="AI218" s="2"/>
      <c r="AJ218" s="2"/>
      <c r="AK218" s="3"/>
      <c r="AL218" s="3"/>
      <c r="AM218" s="3"/>
      <c r="AN218" s="3"/>
      <c r="AO218" s="3"/>
      <c r="AP218" s="2"/>
      <c r="AQ218" s="6"/>
      <c r="AR218" s="3"/>
      <c r="AS218" s="5"/>
      <c r="AT218" s="5"/>
      <c r="AU218" s="5"/>
    </row>
    <row r="219" spans="10:47" x14ac:dyDescent="0.25">
      <c r="J219" s="2"/>
      <c r="K219" s="4"/>
      <c r="L219" s="5"/>
      <c r="M219" s="3"/>
      <c r="N219" s="4"/>
      <c r="O219" s="4"/>
      <c r="P219" s="4"/>
      <c r="Q219" s="3"/>
      <c r="R219" s="4"/>
      <c r="S219" s="3"/>
      <c r="T219" s="3"/>
      <c r="U219" s="3"/>
      <c r="V219" s="3"/>
      <c r="W219" s="3"/>
      <c r="X219" s="2"/>
      <c r="Y219" s="6"/>
      <c r="Z219" s="6"/>
      <c r="AA219" s="6"/>
      <c r="AB219" s="6"/>
      <c r="AC219" s="6"/>
      <c r="AD219" s="4"/>
      <c r="AE219" s="4"/>
      <c r="AF219" s="4"/>
      <c r="AI219" s="2"/>
      <c r="AJ219" s="6"/>
      <c r="AK219" s="3"/>
      <c r="AL219" s="3"/>
      <c r="AM219" s="3"/>
      <c r="AN219" s="5"/>
      <c r="AO219" s="3"/>
      <c r="AP219" s="2"/>
      <c r="AQ219" s="6"/>
      <c r="AR219" s="3"/>
      <c r="AS219" s="5"/>
      <c r="AT219" s="5"/>
      <c r="AU219" s="5"/>
    </row>
    <row r="220" spans="10:47" x14ac:dyDescent="0.25">
      <c r="J220" s="2"/>
      <c r="K220" s="4"/>
      <c r="L220" s="5"/>
      <c r="M220" s="3"/>
      <c r="N220" s="3"/>
      <c r="O220" s="3"/>
      <c r="P220" s="3"/>
      <c r="Q220" s="3"/>
      <c r="R220" s="4"/>
      <c r="S220" s="3"/>
      <c r="T220" s="3"/>
      <c r="U220" s="3"/>
      <c r="V220" s="3"/>
      <c r="W220" s="3"/>
      <c r="X220" s="2"/>
      <c r="Y220" s="2"/>
      <c r="Z220" s="6"/>
      <c r="AA220" s="6"/>
      <c r="AB220" s="6"/>
      <c r="AC220" s="6"/>
      <c r="AD220" s="4"/>
      <c r="AE220" s="4"/>
      <c r="AF220" s="3"/>
      <c r="AI220" s="2"/>
      <c r="AJ220" s="2"/>
      <c r="AK220" s="3"/>
      <c r="AL220" s="3"/>
      <c r="AM220" s="3"/>
      <c r="AN220" s="3"/>
      <c r="AO220" s="3"/>
      <c r="AP220" s="2"/>
      <c r="AQ220" s="6"/>
      <c r="AR220" s="3"/>
      <c r="AS220" s="5"/>
      <c r="AT220" s="5"/>
      <c r="AU220" s="5"/>
    </row>
    <row r="221" spans="10:47" x14ac:dyDescent="0.25">
      <c r="J221" s="2"/>
      <c r="K221" s="4"/>
      <c r="L221" s="5"/>
      <c r="M221" s="3"/>
      <c r="N221" s="3"/>
      <c r="O221" s="3"/>
      <c r="P221" s="3"/>
      <c r="Q221" s="4"/>
      <c r="R221" s="4"/>
      <c r="S221" s="3"/>
      <c r="T221" s="3"/>
      <c r="U221" s="3"/>
      <c r="V221" s="3"/>
      <c r="W221" s="3"/>
      <c r="X221" s="2"/>
      <c r="Y221" s="2"/>
      <c r="Z221" s="6"/>
      <c r="AA221" s="6"/>
      <c r="AB221" s="6"/>
      <c r="AC221" s="6"/>
      <c r="AD221" s="3"/>
      <c r="AE221" s="4"/>
      <c r="AF221" s="3"/>
      <c r="AG221" s="3"/>
      <c r="AI221" s="2"/>
      <c r="AJ221" s="6"/>
      <c r="AK221" s="3"/>
      <c r="AL221" s="3"/>
      <c r="AM221" s="3"/>
      <c r="AN221" s="3"/>
      <c r="AO221" s="3"/>
      <c r="AP221" s="2"/>
      <c r="AQ221" s="6"/>
      <c r="AR221" s="3"/>
      <c r="AS221" s="5"/>
      <c r="AT221" s="5"/>
      <c r="AU221" s="5"/>
    </row>
    <row r="222" spans="10:47" x14ac:dyDescent="0.25">
      <c r="J222" s="2"/>
      <c r="K222" s="4"/>
      <c r="L222" s="5"/>
      <c r="M222" s="4"/>
      <c r="N222" s="4"/>
      <c r="O222" s="4"/>
      <c r="P222" s="4"/>
      <c r="Q222" s="3"/>
      <c r="R222" s="4"/>
      <c r="S222" s="3"/>
      <c r="T222" s="3"/>
      <c r="U222" s="3"/>
      <c r="V222" s="3"/>
      <c r="W222" s="3"/>
      <c r="X222" s="2"/>
      <c r="Y222" s="2"/>
      <c r="Z222" s="6"/>
      <c r="AA222" s="6"/>
      <c r="AB222" s="6"/>
      <c r="AC222" s="6"/>
      <c r="AD222" s="4"/>
      <c r="AE222" s="4"/>
      <c r="AF222" s="4"/>
      <c r="AI222" s="2"/>
      <c r="AJ222" s="6"/>
      <c r="AK222" s="3"/>
      <c r="AL222" s="3"/>
      <c r="AM222" s="3"/>
      <c r="AN222" s="3"/>
      <c r="AO222" s="3"/>
      <c r="AP222" s="6"/>
      <c r="AQ222" s="6"/>
      <c r="AR222" s="3"/>
      <c r="AS222" s="5"/>
      <c r="AT222" s="5"/>
      <c r="AU222" s="5"/>
    </row>
    <row r="223" spans="10:47" x14ac:dyDescent="0.25">
      <c r="J223" s="2"/>
      <c r="K223" s="4"/>
      <c r="L223" s="5"/>
      <c r="M223" s="3"/>
      <c r="N223" s="3"/>
      <c r="O223" s="3"/>
      <c r="P223" s="3"/>
      <c r="Q223" s="3"/>
      <c r="R223" s="4"/>
      <c r="S223" s="3"/>
      <c r="T223" s="3"/>
      <c r="U223" s="3"/>
      <c r="V223" s="3"/>
      <c r="W223" s="3"/>
      <c r="X223" s="2"/>
      <c r="Y223" s="2"/>
      <c r="Z223" s="6"/>
      <c r="AA223" s="6"/>
      <c r="AB223" s="6"/>
      <c r="AC223" s="2"/>
      <c r="AD223" s="4"/>
      <c r="AE223" s="4"/>
      <c r="AF223" s="3"/>
      <c r="AI223" s="2"/>
      <c r="AJ223" s="6"/>
      <c r="AK223" s="3"/>
      <c r="AL223" s="3"/>
      <c r="AM223" s="3"/>
      <c r="AN223" s="3"/>
      <c r="AO223" s="3"/>
      <c r="AP223" s="2"/>
      <c r="AQ223" s="6"/>
      <c r="AR223" s="3"/>
      <c r="AS223" s="5"/>
      <c r="AT223" s="5"/>
      <c r="AU223" s="5"/>
    </row>
    <row r="224" spans="10:47" x14ac:dyDescent="0.25">
      <c r="J224" s="2"/>
      <c r="K224" s="4"/>
      <c r="L224" s="5"/>
      <c r="M224" s="3"/>
      <c r="N224" s="4"/>
      <c r="O224" s="4"/>
      <c r="P224" s="4"/>
      <c r="Q224" s="3"/>
      <c r="R224" s="4"/>
      <c r="S224" s="3"/>
      <c r="T224" s="3"/>
      <c r="U224" s="3"/>
      <c r="V224" s="3"/>
      <c r="W224" s="3"/>
      <c r="X224" s="2"/>
      <c r="Y224" s="6"/>
      <c r="Z224" s="6"/>
      <c r="AA224" s="6"/>
      <c r="AB224" s="6"/>
      <c r="AC224" s="6"/>
      <c r="AD224" s="4"/>
      <c r="AE224" s="4"/>
      <c r="AF224" s="4"/>
      <c r="AI224" s="2"/>
      <c r="AJ224" s="2"/>
      <c r="AK224" s="3"/>
      <c r="AL224" s="3"/>
      <c r="AM224" s="3"/>
      <c r="AN224" s="5"/>
      <c r="AO224" s="3"/>
      <c r="AP224" s="2"/>
      <c r="AQ224" s="6"/>
      <c r="AR224" s="3"/>
      <c r="AS224" s="5"/>
      <c r="AT224" s="5"/>
      <c r="AU224" s="5"/>
    </row>
    <row r="225" spans="10:47" x14ac:dyDescent="0.25">
      <c r="J225" s="2"/>
      <c r="K225" s="4"/>
      <c r="L225" s="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"/>
      <c r="Y225" s="2"/>
      <c r="Z225" s="6"/>
      <c r="AA225" s="6"/>
      <c r="AB225" s="6"/>
      <c r="AC225" s="2"/>
      <c r="AD225" s="4"/>
      <c r="AE225" s="4"/>
      <c r="AF225" s="3"/>
      <c r="AI225" s="2"/>
      <c r="AJ225" s="2"/>
      <c r="AK225" s="3"/>
      <c r="AL225" s="3"/>
      <c r="AM225" s="3"/>
      <c r="AN225" s="3"/>
      <c r="AO225" s="3"/>
      <c r="AP225" s="2"/>
      <c r="AQ225" s="6"/>
      <c r="AR225" s="3"/>
      <c r="AS225" s="5"/>
      <c r="AT225" s="5"/>
      <c r="AU225" s="5"/>
    </row>
    <row r="226" spans="10:47" x14ac:dyDescent="0.25">
      <c r="J226" s="2"/>
      <c r="K226" s="4"/>
      <c r="L226" s="5"/>
      <c r="M226" s="3"/>
      <c r="N226" s="4"/>
      <c r="O226" s="4"/>
      <c r="P226" s="4"/>
      <c r="Q226" s="3"/>
      <c r="R226" s="4"/>
      <c r="S226" s="3"/>
      <c r="T226" s="3"/>
      <c r="U226" s="3"/>
      <c r="V226" s="3"/>
      <c r="W226" s="3"/>
      <c r="X226" s="2"/>
      <c r="Y226" s="2"/>
      <c r="Z226" s="6"/>
      <c r="AA226" s="6"/>
      <c r="AB226" s="6"/>
      <c r="AC226" s="2"/>
      <c r="AD226" s="4"/>
      <c r="AE226" s="4"/>
      <c r="AF226" s="3"/>
      <c r="AI226" s="2"/>
      <c r="AJ226" s="2"/>
      <c r="AK226" s="3"/>
      <c r="AL226" s="3"/>
      <c r="AM226" s="3"/>
      <c r="AN226" s="3"/>
      <c r="AO226" s="3"/>
      <c r="AP226" s="6"/>
      <c r="AQ226" s="6"/>
      <c r="AR226" s="3"/>
      <c r="AS226" s="5"/>
      <c r="AT226" s="5"/>
      <c r="AU226" s="5"/>
    </row>
    <row r="227" spans="10:47" x14ac:dyDescent="0.25">
      <c r="J227" s="2"/>
      <c r="K227" s="4"/>
      <c r="L227" s="5"/>
      <c r="M227" s="3"/>
      <c r="N227" s="4"/>
      <c r="O227" s="4"/>
      <c r="P227" s="4"/>
      <c r="Q227" s="4"/>
      <c r="R227" s="4"/>
      <c r="S227" s="3"/>
      <c r="T227" s="3"/>
      <c r="U227" s="3"/>
      <c r="V227" s="3"/>
      <c r="W227" s="3"/>
      <c r="X227" s="2"/>
      <c r="Y227" s="2"/>
      <c r="Z227" s="6"/>
      <c r="AA227" s="6"/>
      <c r="AB227" s="6"/>
      <c r="AC227" s="6"/>
      <c r="AD227" s="4"/>
      <c r="AE227" s="4"/>
      <c r="AF227" s="4"/>
      <c r="AG227" s="3"/>
      <c r="AI227" s="2"/>
      <c r="AJ227" s="6"/>
      <c r="AK227" s="3"/>
      <c r="AL227" s="3"/>
      <c r="AM227" s="3"/>
      <c r="AN227" s="3"/>
      <c r="AO227" s="3"/>
      <c r="AP227" s="2"/>
      <c r="AQ227" s="6"/>
      <c r="AR227" s="3"/>
      <c r="AS227" s="5"/>
      <c r="AT227" s="5"/>
      <c r="AU227" s="5"/>
    </row>
    <row r="228" spans="10:47" x14ac:dyDescent="0.25">
      <c r="J228" s="2"/>
      <c r="K228" s="4"/>
      <c r="L228" s="5"/>
      <c r="M228" s="3"/>
      <c r="N228" s="4"/>
      <c r="O228" s="4"/>
      <c r="P228" s="4"/>
      <c r="Q228" s="3"/>
      <c r="R228" s="4"/>
      <c r="S228" s="3"/>
      <c r="T228" s="3"/>
      <c r="U228" s="3"/>
      <c r="V228" s="3"/>
      <c r="W228" s="3"/>
      <c r="X228" s="2"/>
      <c r="Y228" s="2"/>
      <c r="Z228" s="6"/>
      <c r="AA228" s="6"/>
      <c r="AB228" s="6"/>
      <c r="AC228" s="6"/>
      <c r="AD228" s="4"/>
      <c r="AE228" s="4"/>
      <c r="AF228" s="4"/>
      <c r="AI228" s="2"/>
      <c r="AJ228" s="6"/>
      <c r="AK228" s="3"/>
      <c r="AL228" s="3"/>
      <c r="AM228" s="3"/>
      <c r="AN228" s="3"/>
      <c r="AO228" s="3"/>
      <c r="AP228" s="2"/>
      <c r="AQ228" s="6"/>
      <c r="AR228" s="3"/>
      <c r="AS228" s="5"/>
      <c r="AT228" s="5"/>
      <c r="AU228" s="5"/>
    </row>
    <row r="229" spans="10:47" x14ac:dyDescent="0.25">
      <c r="J229" s="2"/>
      <c r="K229" s="4"/>
      <c r="L229" s="5"/>
      <c r="M229" s="3"/>
      <c r="N229" s="4"/>
      <c r="O229" s="4"/>
      <c r="P229" s="4"/>
      <c r="Q229" s="3"/>
      <c r="R229" s="4"/>
      <c r="S229" s="3"/>
      <c r="T229" s="3"/>
      <c r="U229" s="3"/>
      <c r="V229" s="3"/>
      <c r="W229" s="3"/>
      <c r="X229" s="2"/>
      <c r="Y229" s="6"/>
      <c r="Z229" s="6"/>
      <c r="AA229" s="6"/>
      <c r="AB229" s="6"/>
      <c r="AC229" s="6"/>
      <c r="AD229" s="4"/>
      <c r="AE229" s="4"/>
      <c r="AF229" s="4"/>
      <c r="AI229" s="2"/>
      <c r="AJ229" s="6"/>
      <c r="AK229" s="3"/>
      <c r="AL229" s="3"/>
      <c r="AM229" s="3"/>
      <c r="AN229" s="5"/>
      <c r="AO229" s="3"/>
      <c r="AP229" s="6"/>
      <c r="AQ229" s="6"/>
      <c r="AR229" s="3"/>
      <c r="AS229" s="5"/>
      <c r="AT229" s="5"/>
      <c r="AU229" s="5"/>
    </row>
    <row r="230" spans="10:47" x14ac:dyDescent="0.25">
      <c r="J230" s="2"/>
      <c r="K230" s="4"/>
      <c r="L230" s="5"/>
      <c r="M230" s="3"/>
      <c r="N230" s="3"/>
      <c r="O230" s="3"/>
      <c r="P230" s="3"/>
      <c r="Q230" s="3"/>
      <c r="R230" s="4"/>
      <c r="S230" s="3"/>
      <c r="T230" s="3"/>
      <c r="U230" s="3"/>
      <c r="V230" s="3"/>
      <c r="W230" s="3"/>
      <c r="X230" s="2"/>
      <c r="Y230" s="2"/>
      <c r="Z230" s="6"/>
      <c r="AA230" s="6"/>
      <c r="AB230" s="2"/>
      <c r="AC230" s="6"/>
      <c r="AD230" s="4"/>
      <c r="AE230" s="4"/>
      <c r="AF230" s="4"/>
      <c r="AI230" s="2"/>
      <c r="AJ230" s="2"/>
      <c r="AK230" s="3"/>
      <c r="AL230" s="3"/>
      <c r="AM230" s="3"/>
      <c r="AN230" s="3"/>
      <c r="AO230" s="3"/>
      <c r="AP230" s="2"/>
      <c r="AQ230" s="6"/>
      <c r="AR230" s="3"/>
      <c r="AS230" s="5"/>
      <c r="AT230" s="5"/>
      <c r="AU230" s="5"/>
    </row>
    <row r="231" spans="10:47" x14ac:dyDescent="0.25">
      <c r="J231" s="2"/>
      <c r="K231" s="4"/>
      <c r="L231" s="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"/>
      <c r="Y231" s="2"/>
      <c r="Z231" s="6"/>
      <c r="AA231" s="6"/>
      <c r="AB231" s="6"/>
      <c r="AC231" s="6"/>
      <c r="AD231" s="4"/>
      <c r="AE231" s="4"/>
      <c r="AF231" s="3"/>
      <c r="AI231" s="2"/>
      <c r="AJ231" s="2"/>
      <c r="AK231" s="3"/>
      <c r="AL231" s="3"/>
      <c r="AM231" s="3"/>
      <c r="AN231" s="3"/>
      <c r="AO231" s="3"/>
      <c r="AP231" s="2"/>
      <c r="AQ231" s="6"/>
      <c r="AR231" s="3"/>
      <c r="AS231" s="5"/>
      <c r="AT231" s="5"/>
      <c r="AU231" s="5"/>
    </row>
    <row r="232" spans="10:47" x14ac:dyDescent="0.25">
      <c r="J232" s="2"/>
      <c r="K232" s="4"/>
      <c r="L232" s="5"/>
      <c r="M232" s="3"/>
      <c r="N232" s="4"/>
      <c r="O232" s="4"/>
      <c r="P232" s="4"/>
      <c r="Q232" s="4"/>
      <c r="R232" s="4"/>
      <c r="S232" s="3"/>
      <c r="T232" s="3"/>
      <c r="U232" s="3"/>
      <c r="V232" s="3"/>
      <c r="W232" s="3"/>
      <c r="X232" s="2"/>
      <c r="Y232" s="2"/>
      <c r="Z232" s="6"/>
      <c r="AA232" s="6"/>
      <c r="AB232" s="6"/>
      <c r="AC232" s="6"/>
      <c r="AD232" s="4"/>
      <c r="AE232" s="4"/>
      <c r="AF232" s="4"/>
      <c r="AG232" s="4"/>
      <c r="AI232" s="6"/>
      <c r="AJ232" s="6"/>
      <c r="AK232" s="3"/>
      <c r="AL232" s="3"/>
      <c r="AM232" s="3"/>
      <c r="AN232" s="3"/>
      <c r="AO232" s="3"/>
      <c r="AP232" s="2"/>
      <c r="AQ232" s="6"/>
      <c r="AR232" s="3"/>
      <c r="AS232" s="5"/>
      <c r="AT232" s="5"/>
      <c r="AU232" s="5"/>
    </row>
    <row r="233" spans="10:47" x14ac:dyDescent="0.25">
      <c r="J233" s="2"/>
      <c r="K233" s="4"/>
      <c r="L233" s="5"/>
      <c r="M233" s="3"/>
      <c r="N233" s="4"/>
      <c r="O233" s="4"/>
      <c r="P233" s="4"/>
      <c r="Q233" s="4"/>
      <c r="R233" s="4"/>
      <c r="S233" s="3"/>
      <c r="T233" s="3"/>
      <c r="U233" s="3"/>
      <c r="V233" s="3"/>
      <c r="W233" s="3"/>
      <c r="X233" s="2"/>
      <c r="Y233" s="2"/>
      <c r="Z233" s="6"/>
      <c r="AA233" s="6"/>
      <c r="AB233" s="6"/>
      <c r="AC233" s="6"/>
      <c r="AD233" s="4"/>
      <c r="AE233" s="4"/>
      <c r="AF233" s="4"/>
      <c r="AI233" s="2"/>
      <c r="AJ233" s="6"/>
      <c r="AK233" s="3"/>
      <c r="AL233" s="3"/>
      <c r="AM233" s="3"/>
      <c r="AN233" s="3"/>
      <c r="AO233" s="3"/>
      <c r="AP233" s="2"/>
      <c r="AQ233" s="6"/>
      <c r="AR233" s="3"/>
      <c r="AS233" s="5"/>
      <c r="AT233" s="5"/>
      <c r="AU233" s="5"/>
    </row>
    <row r="234" spans="10:47" x14ac:dyDescent="0.25">
      <c r="J234" s="2"/>
      <c r="K234" s="4"/>
      <c r="L234" s="5"/>
      <c r="M234" s="3"/>
      <c r="N234" s="4"/>
      <c r="O234" s="4"/>
      <c r="P234" s="4"/>
      <c r="Q234" s="4"/>
      <c r="R234" s="4"/>
      <c r="S234" s="3"/>
      <c r="T234" s="3"/>
      <c r="U234" s="3"/>
      <c r="V234" s="3"/>
      <c r="W234" s="3"/>
      <c r="X234" s="2"/>
      <c r="Y234" s="6"/>
      <c r="Z234" s="6"/>
      <c r="AA234" s="6"/>
      <c r="AB234" s="6"/>
      <c r="AC234" s="6"/>
      <c r="AD234" s="4"/>
      <c r="AE234" s="4"/>
      <c r="AF234" s="4"/>
      <c r="AG234" s="3"/>
      <c r="AI234" s="2"/>
      <c r="AJ234" s="6"/>
      <c r="AK234" s="3"/>
      <c r="AL234" s="3"/>
      <c r="AM234" s="3"/>
      <c r="AN234" s="5"/>
      <c r="AO234" s="3"/>
      <c r="AP234" s="2"/>
      <c r="AQ234" s="6"/>
      <c r="AR234" s="3"/>
      <c r="AS234" s="5"/>
      <c r="AT234" s="5"/>
      <c r="AU234" s="5"/>
    </row>
    <row r="235" spans="10:47" x14ac:dyDescent="0.25">
      <c r="J235" s="2"/>
      <c r="K235" s="4"/>
      <c r="L235" s="5"/>
      <c r="M235" s="3"/>
      <c r="N235" s="4"/>
      <c r="O235" s="4"/>
      <c r="P235" s="4"/>
      <c r="Q235" s="4"/>
      <c r="R235" s="4"/>
      <c r="S235" s="3"/>
      <c r="T235" s="3"/>
      <c r="U235" s="3"/>
      <c r="V235" s="3"/>
      <c r="W235" s="3"/>
      <c r="X235" s="2"/>
      <c r="Y235" s="2"/>
      <c r="Z235" s="6"/>
      <c r="AA235" s="6"/>
      <c r="AB235" s="6"/>
      <c r="AC235" s="6"/>
      <c r="AD235" s="4"/>
      <c r="AE235" s="4"/>
      <c r="AF235" s="4"/>
      <c r="AG235" s="3"/>
      <c r="AI235" s="2"/>
      <c r="AJ235" s="6"/>
      <c r="AK235" s="3"/>
      <c r="AL235" s="3"/>
      <c r="AM235" s="3"/>
      <c r="AN235" s="3"/>
      <c r="AO235" s="3"/>
      <c r="AP235" s="2"/>
      <c r="AQ235" s="6"/>
      <c r="AR235" s="3"/>
      <c r="AS235" s="5"/>
      <c r="AT235" s="5"/>
      <c r="AU235" s="5"/>
    </row>
    <row r="236" spans="10:47" x14ac:dyDescent="0.25">
      <c r="J236" s="2"/>
      <c r="K236" s="4"/>
      <c r="L236" s="5"/>
      <c r="M236" s="3"/>
      <c r="N236" s="4"/>
      <c r="O236" s="4"/>
      <c r="P236" s="4"/>
      <c r="Q236" s="3"/>
      <c r="R236" s="4"/>
      <c r="S236" s="3"/>
      <c r="T236" s="3"/>
      <c r="U236" s="3"/>
      <c r="V236" s="3"/>
      <c r="W236" s="3"/>
      <c r="X236" s="2"/>
      <c r="Y236" s="2"/>
      <c r="Z236" s="6"/>
      <c r="AA236" s="6"/>
      <c r="AB236" s="6"/>
      <c r="AC236" s="6"/>
      <c r="AD236" s="4"/>
      <c r="AE236" s="4"/>
      <c r="AF236" s="4"/>
      <c r="AG236" s="3"/>
      <c r="AI236" s="6"/>
      <c r="AJ236" s="6"/>
      <c r="AK236" s="3"/>
      <c r="AL236" s="3"/>
      <c r="AM236" s="3"/>
      <c r="AN236" s="3"/>
      <c r="AO236" s="3"/>
      <c r="AP236" s="2"/>
      <c r="AQ236" s="6"/>
      <c r="AR236" s="3"/>
      <c r="AS236" s="5"/>
      <c r="AT236" s="5"/>
      <c r="AU236" s="5"/>
    </row>
    <row r="237" spans="10:47" x14ac:dyDescent="0.25">
      <c r="J237" s="2"/>
      <c r="K237" s="4"/>
      <c r="L237" s="5"/>
      <c r="M237" s="4"/>
      <c r="N237" s="4"/>
      <c r="O237" s="4"/>
      <c r="P237" s="4"/>
      <c r="Q237" s="4"/>
      <c r="R237" s="4"/>
      <c r="S237" s="3"/>
      <c r="T237" s="3"/>
      <c r="U237" s="3"/>
      <c r="V237" s="3"/>
      <c r="W237" s="3"/>
      <c r="X237" s="2"/>
      <c r="Y237" s="2"/>
      <c r="Z237" s="2"/>
      <c r="AA237" s="6"/>
      <c r="AB237" s="6"/>
      <c r="AC237" s="6"/>
      <c r="AD237" s="4"/>
      <c r="AE237" s="4"/>
      <c r="AF237" s="4"/>
      <c r="AG237" s="3"/>
      <c r="AI237" s="6"/>
      <c r="AJ237" s="6"/>
      <c r="AK237" s="3"/>
      <c r="AL237" s="3"/>
      <c r="AM237" s="3"/>
      <c r="AN237" s="3"/>
      <c r="AO237" s="3"/>
      <c r="AP237" s="2"/>
      <c r="AQ237" s="6"/>
      <c r="AR237" s="3"/>
      <c r="AS237" s="5"/>
      <c r="AT237" s="5"/>
      <c r="AU237" s="5"/>
    </row>
    <row r="238" spans="10:47" x14ac:dyDescent="0.25">
      <c r="J238" s="2"/>
      <c r="K238" s="4"/>
      <c r="L238" s="5"/>
      <c r="M238" s="3"/>
      <c r="N238" s="4"/>
      <c r="O238" s="4"/>
      <c r="P238" s="4"/>
      <c r="Q238" s="4"/>
      <c r="R238" s="4"/>
      <c r="S238" s="3"/>
      <c r="T238" s="3"/>
      <c r="U238" s="3"/>
      <c r="V238" s="3"/>
      <c r="W238" s="3"/>
      <c r="X238" s="2"/>
      <c r="Y238" s="2"/>
      <c r="Z238" s="6"/>
      <c r="AA238" s="6"/>
      <c r="AB238" s="6"/>
      <c r="AC238" s="6"/>
      <c r="AD238" s="4"/>
      <c r="AE238" s="4"/>
      <c r="AF238" s="4"/>
      <c r="AG238" s="4"/>
      <c r="AI238" s="6"/>
      <c r="AJ238" s="6"/>
      <c r="AK238" s="3"/>
      <c r="AL238" s="3"/>
      <c r="AM238" s="3"/>
      <c r="AN238" s="3"/>
      <c r="AO238" s="3"/>
      <c r="AP238" s="6"/>
      <c r="AQ238" s="6"/>
      <c r="AR238" s="3"/>
      <c r="AS238" s="5"/>
      <c r="AT238" s="5"/>
      <c r="AU238" s="5"/>
    </row>
    <row r="239" spans="10:47" x14ac:dyDescent="0.25">
      <c r="J239" s="2"/>
      <c r="K239" s="4"/>
      <c r="L239" s="5"/>
      <c r="M239" s="4"/>
      <c r="N239" s="4"/>
      <c r="O239" s="4"/>
      <c r="P239" s="4"/>
      <c r="Q239" s="4"/>
      <c r="R239" s="4"/>
      <c r="S239" s="3"/>
      <c r="T239" s="3"/>
      <c r="U239" s="3"/>
      <c r="V239" s="3"/>
      <c r="W239" s="3"/>
      <c r="X239" s="2"/>
      <c r="Y239" s="6"/>
      <c r="Z239" s="6"/>
      <c r="AA239" s="6"/>
      <c r="AB239" s="6"/>
      <c r="AC239" s="6"/>
      <c r="AD239" s="4"/>
      <c r="AE239" s="4"/>
      <c r="AF239" s="4"/>
      <c r="AG239" s="3"/>
      <c r="AI239" s="2"/>
      <c r="AJ239" s="6"/>
      <c r="AK239" s="3"/>
      <c r="AL239" s="3"/>
      <c r="AM239" s="3"/>
      <c r="AN239" s="5"/>
      <c r="AO239" s="3"/>
      <c r="AP239" s="2"/>
      <c r="AQ239" s="6"/>
      <c r="AR239" s="3"/>
      <c r="AS239" s="5"/>
      <c r="AT239" s="5"/>
      <c r="AU239" s="5"/>
    </row>
    <row r="240" spans="10:47" x14ac:dyDescent="0.25">
      <c r="J240" s="2"/>
      <c r="K240" s="4"/>
      <c r="L240" s="5"/>
      <c r="M240" s="4"/>
      <c r="N240" s="4"/>
      <c r="O240" s="4"/>
      <c r="P240" s="4"/>
      <c r="Q240" s="3"/>
      <c r="R240" s="4"/>
      <c r="S240" s="3"/>
      <c r="T240" s="3"/>
      <c r="U240" s="3"/>
      <c r="V240" s="3"/>
      <c r="W240" s="3"/>
      <c r="X240" s="2"/>
      <c r="Y240" s="2"/>
      <c r="Z240" s="6"/>
      <c r="AA240" s="6"/>
      <c r="AB240" s="6"/>
      <c r="AC240" s="6"/>
      <c r="AD240" s="4"/>
      <c r="AE240" s="4"/>
      <c r="AF240" s="4"/>
      <c r="AI240" s="6"/>
      <c r="AJ240" s="6"/>
      <c r="AK240" s="3"/>
      <c r="AL240" s="3"/>
      <c r="AM240" s="3"/>
      <c r="AN240" s="3"/>
      <c r="AO240" s="3"/>
      <c r="AP240" s="2"/>
      <c r="AQ240" s="6"/>
      <c r="AR240" s="3"/>
      <c r="AS240" s="5"/>
      <c r="AT240" s="5"/>
      <c r="AU240" s="5"/>
    </row>
    <row r="241" spans="10:47" x14ac:dyDescent="0.25">
      <c r="J241" s="2"/>
      <c r="K241" s="4"/>
      <c r="L241" s="5"/>
      <c r="M241" s="4"/>
      <c r="N241" s="4"/>
      <c r="O241" s="4"/>
      <c r="P241" s="4"/>
      <c r="Q241" s="4"/>
      <c r="R241" s="4"/>
      <c r="S241" s="3"/>
      <c r="T241" s="3"/>
      <c r="U241" s="3"/>
      <c r="V241" s="3"/>
      <c r="W241" s="3"/>
      <c r="X241" s="2"/>
      <c r="Y241" s="2"/>
      <c r="Z241" s="6"/>
      <c r="AA241" s="6"/>
      <c r="AB241" s="6"/>
      <c r="AC241" s="6"/>
      <c r="AD241" s="4"/>
      <c r="AE241" s="4"/>
      <c r="AF241" s="4"/>
      <c r="AG241" s="4"/>
      <c r="AI241" s="2"/>
      <c r="AJ241" s="6"/>
      <c r="AK241" s="3"/>
      <c r="AL241" s="3"/>
      <c r="AM241" s="3"/>
      <c r="AN241" s="3"/>
      <c r="AO241" s="3"/>
      <c r="AP241" s="2"/>
      <c r="AQ241" s="6"/>
      <c r="AR241" s="3"/>
      <c r="AS241" s="5"/>
      <c r="AT241" s="5"/>
      <c r="AU241" s="5"/>
    </row>
    <row r="242" spans="10:47" x14ac:dyDescent="0.25">
      <c r="J242" s="2"/>
      <c r="K242" s="4"/>
      <c r="L242" s="5"/>
      <c r="M242" s="4"/>
      <c r="N242" s="4"/>
      <c r="O242" s="4"/>
      <c r="P242" s="4"/>
      <c r="Q242" s="4"/>
      <c r="R242" s="4"/>
      <c r="S242" s="3"/>
      <c r="T242" s="3"/>
      <c r="U242" s="3"/>
      <c r="V242" s="3"/>
      <c r="W242" s="3"/>
      <c r="X242" s="2"/>
      <c r="Y242" s="6"/>
      <c r="Z242" s="6"/>
      <c r="AA242" s="6"/>
      <c r="AB242" s="6"/>
      <c r="AC242" s="6"/>
      <c r="AD242" s="4"/>
      <c r="AE242" s="4"/>
      <c r="AF242" s="4"/>
      <c r="AG242" s="4"/>
      <c r="AI242" s="6"/>
      <c r="AJ242" s="6"/>
      <c r="AK242" s="3"/>
      <c r="AL242" s="3"/>
      <c r="AM242" s="3"/>
      <c r="AN242" s="5"/>
      <c r="AO242" s="3"/>
      <c r="AP242" s="2"/>
      <c r="AQ242" s="6"/>
      <c r="AR242" s="3"/>
      <c r="AS242" s="5"/>
      <c r="AT242" s="5"/>
      <c r="AU242" s="5"/>
    </row>
    <row r="243" spans="10:47" x14ac:dyDescent="0.25">
      <c r="J243" s="2"/>
      <c r="K243" s="4"/>
      <c r="L243" s="5"/>
      <c r="M243" s="4"/>
      <c r="N243" s="4"/>
      <c r="O243" s="4"/>
      <c r="P243" s="4"/>
      <c r="Q243" s="4"/>
      <c r="R243" s="4"/>
      <c r="S243" s="3"/>
      <c r="T243" s="3"/>
      <c r="U243" s="3"/>
      <c r="V243" s="3"/>
      <c r="W243" s="3"/>
      <c r="X243" s="2"/>
      <c r="Y243" s="6"/>
      <c r="Z243" s="6"/>
      <c r="AA243" s="6"/>
      <c r="AB243" s="6"/>
      <c r="AC243" s="6"/>
      <c r="AD243" s="4"/>
      <c r="AE243" s="4"/>
      <c r="AF243" s="4"/>
      <c r="AG243" s="3"/>
      <c r="AI243" s="2"/>
      <c r="AJ243" s="6"/>
      <c r="AK243" s="3"/>
      <c r="AL243" s="3"/>
      <c r="AM243" s="3"/>
      <c r="AN243" s="5"/>
      <c r="AO243" s="3"/>
      <c r="AP243" s="6"/>
      <c r="AQ243" s="6"/>
      <c r="AR243" s="3"/>
      <c r="AS243" s="5"/>
      <c r="AT243" s="5"/>
      <c r="AU243" s="5"/>
    </row>
    <row r="244" spans="10:47" x14ac:dyDescent="0.25">
      <c r="J244" s="2"/>
      <c r="K244" s="4"/>
      <c r="L244" s="5"/>
      <c r="M244" s="4"/>
      <c r="N244" s="4"/>
      <c r="O244" s="4"/>
      <c r="P244" s="4"/>
      <c r="Q244" s="4"/>
      <c r="R244" s="4"/>
      <c r="S244" s="3"/>
      <c r="T244" s="3"/>
      <c r="U244" s="3"/>
      <c r="V244" s="3"/>
      <c r="W244" s="3"/>
      <c r="X244" s="2"/>
      <c r="Y244" s="6"/>
      <c r="Z244" s="6"/>
      <c r="AA244" s="6"/>
      <c r="AB244" s="6"/>
      <c r="AC244" s="6"/>
      <c r="AD244" s="4"/>
      <c r="AE244" s="4"/>
      <c r="AF244" s="4"/>
      <c r="AG244" s="4"/>
      <c r="AI244" s="6"/>
      <c r="AJ244" s="6"/>
      <c r="AK244" s="3"/>
      <c r="AL244" s="3"/>
      <c r="AM244" s="3"/>
      <c r="AN244" s="5"/>
      <c r="AO244" s="3"/>
      <c r="AP244" s="2"/>
      <c r="AQ244" s="6"/>
      <c r="AR244" s="3"/>
      <c r="AS244" s="5"/>
      <c r="AT244" s="5"/>
      <c r="AU244" s="5"/>
    </row>
    <row r="245" spans="10:47" x14ac:dyDescent="0.25">
      <c r="J245" s="2"/>
      <c r="K245" s="4"/>
      <c r="L245" s="5"/>
      <c r="M245" s="4"/>
      <c r="N245" s="4"/>
      <c r="O245" s="4"/>
      <c r="P245" s="4"/>
      <c r="Q245" s="4"/>
      <c r="R245" s="4"/>
      <c r="S245" s="3"/>
      <c r="T245" s="3"/>
      <c r="U245" s="3"/>
      <c r="V245" s="3"/>
      <c r="W245" s="3"/>
      <c r="X245" s="2"/>
      <c r="Y245" s="2"/>
      <c r="Z245" s="6"/>
      <c r="AA245" s="6"/>
      <c r="AB245" s="6"/>
      <c r="AC245" s="6"/>
      <c r="AD245" s="4"/>
      <c r="AE245" s="4"/>
      <c r="AF245" s="4"/>
      <c r="AI245" s="2"/>
      <c r="AJ245" s="6"/>
      <c r="AK245" s="3"/>
      <c r="AL245" s="3"/>
      <c r="AM245" s="3"/>
      <c r="AN245" s="3"/>
      <c r="AO245" s="3"/>
      <c r="AP245" s="2"/>
      <c r="AQ245" s="6"/>
      <c r="AR245" s="3"/>
      <c r="AS245" s="5"/>
      <c r="AT245" s="5"/>
      <c r="AU245" s="5"/>
    </row>
    <row r="246" spans="10:47" x14ac:dyDescent="0.25">
      <c r="J246" s="2"/>
      <c r="K246" s="4"/>
      <c r="L246" s="5"/>
      <c r="M246" s="4"/>
      <c r="N246" s="4"/>
      <c r="O246" s="4"/>
      <c r="P246" s="4"/>
      <c r="Q246" s="4"/>
      <c r="R246" s="4"/>
      <c r="S246" s="3"/>
      <c r="T246" s="3"/>
      <c r="U246" s="3"/>
      <c r="V246" s="3"/>
      <c r="W246" s="3"/>
      <c r="X246" s="2"/>
      <c r="Y246" s="2"/>
      <c r="Z246" s="6"/>
      <c r="AA246" s="6"/>
      <c r="AB246" s="6"/>
      <c r="AC246" s="6"/>
      <c r="AD246" s="4"/>
      <c r="AE246" s="4"/>
      <c r="AF246" s="4"/>
      <c r="AG246" s="4"/>
      <c r="AI246" s="6"/>
      <c r="AJ246" s="6"/>
      <c r="AK246" s="3"/>
      <c r="AL246" s="3"/>
      <c r="AM246" s="3"/>
      <c r="AN246" s="3"/>
      <c r="AO246" s="3"/>
      <c r="AP246" s="2"/>
      <c r="AQ246" s="6"/>
      <c r="AR246" s="3"/>
      <c r="AS246" s="5"/>
      <c r="AT246" s="5"/>
      <c r="AU246" s="5"/>
    </row>
    <row r="247" spans="10:47" x14ac:dyDescent="0.25">
      <c r="J247" s="2"/>
      <c r="K247" s="4"/>
      <c r="L247" s="5"/>
      <c r="M247" s="4"/>
      <c r="N247" s="4"/>
      <c r="O247" s="4"/>
      <c r="P247" s="4"/>
      <c r="Q247" s="4"/>
      <c r="R247" s="4"/>
      <c r="S247" s="3"/>
      <c r="T247" s="3"/>
      <c r="U247" s="3"/>
      <c r="V247" s="3"/>
      <c r="W247" s="3"/>
      <c r="X247" s="2"/>
      <c r="Y247" s="2"/>
      <c r="Z247" s="6"/>
      <c r="AA247" s="6"/>
      <c r="AB247" s="6"/>
      <c r="AC247" s="6"/>
      <c r="AD247" s="4"/>
      <c r="AE247" s="4"/>
      <c r="AF247" s="4"/>
      <c r="AG247" s="4"/>
      <c r="AI247" s="6"/>
      <c r="AJ247" s="6"/>
      <c r="AK247" s="3"/>
      <c r="AL247" s="3"/>
      <c r="AM247" s="3"/>
      <c r="AN247" s="3"/>
      <c r="AO247" s="3"/>
      <c r="AP247" s="2"/>
      <c r="AQ247" s="6"/>
      <c r="AR247" s="3"/>
      <c r="AS247" s="5"/>
      <c r="AT247" s="5"/>
      <c r="AU247" s="5"/>
    </row>
    <row r="248" spans="10:47" x14ac:dyDescent="0.25">
      <c r="J248" s="2"/>
      <c r="K248" s="4"/>
      <c r="L248" s="5"/>
      <c r="M248" s="4"/>
      <c r="N248" s="4"/>
      <c r="O248" s="4"/>
      <c r="P248" s="4"/>
      <c r="Q248" s="4"/>
      <c r="R248" s="4"/>
      <c r="S248" s="3"/>
      <c r="T248" s="3"/>
      <c r="U248" s="3"/>
      <c r="V248" s="3"/>
      <c r="W248" s="3"/>
      <c r="X248" s="2"/>
      <c r="Y248" s="6"/>
      <c r="Z248" s="6"/>
      <c r="AA248" s="6"/>
      <c r="AB248" s="6"/>
      <c r="AC248" s="6"/>
      <c r="AD248" s="4"/>
      <c r="AE248" s="4"/>
      <c r="AF248" s="4"/>
      <c r="AG248" s="4"/>
      <c r="AI248" s="2"/>
      <c r="AJ248" s="6"/>
      <c r="AK248" s="3"/>
      <c r="AL248" s="3"/>
      <c r="AM248" s="3"/>
      <c r="AN248" s="5"/>
      <c r="AO248" s="3"/>
      <c r="AP248" s="6"/>
      <c r="AQ248" s="6"/>
      <c r="AR248" s="3"/>
      <c r="AS248" s="5"/>
      <c r="AT248" s="5"/>
      <c r="AU248" s="5"/>
    </row>
    <row r="249" spans="10:47" x14ac:dyDescent="0.25">
      <c r="J249" s="2"/>
      <c r="K249" s="4"/>
      <c r="L249" s="5"/>
      <c r="M249" s="4"/>
      <c r="N249" s="4"/>
      <c r="O249" s="4"/>
      <c r="P249" s="4"/>
      <c r="Q249" s="4"/>
      <c r="R249" s="4"/>
      <c r="S249" s="3"/>
      <c r="T249" s="3"/>
      <c r="U249" s="3"/>
      <c r="V249" s="3"/>
      <c r="W249" s="3"/>
      <c r="X249" s="2"/>
      <c r="Y249" s="6"/>
      <c r="Z249" s="6"/>
      <c r="AA249" s="6"/>
      <c r="AB249" s="6"/>
      <c r="AC249" s="6"/>
      <c r="AD249" s="4"/>
      <c r="AE249" s="4"/>
      <c r="AF249" s="4"/>
      <c r="AG249" s="4"/>
      <c r="AI249" s="6"/>
      <c r="AJ249" s="6"/>
      <c r="AK249" s="3"/>
      <c r="AL249" s="3"/>
      <c r="AM249" s="3"/>
      <c r="AN249" s="5"/>
      <c r="AO249" s="3"/>
      <c r="AP249" s="2"/>
      <c r="AQ249" s="6"/>
      <c r="AR249" s="3"/>
      <c r="AS249" s="5"/>
      <c r="AT249" s="5"/>
      <c r="AU249" s="5"/>
    </row>
    <row r="250" spans="10:47" x14ac:dyDescent="0.25">
      <c r="J250" s="2"/>
      <c r="K250" s="4"/>
      <c r="L250" s="5"/>
      <c r="M250" s="4"/>
      <c r="N250" s="4"/>
      <c r="O250" s="4"/>
      <c r="P250" s="4"/>
      <c r="Q250" s="4"/>
      <c r="R250" s="4"/>
      <c r="S250" s="3"/>
      <c r="T250" s="3"/>
      <c r="U250" s="3"/>
      <c r="V250" s="3"/>
      <c r="W250" s="3"/>
      <c r="X250" s="2"/>
      <c r="Y250" s="6"/>
      <c r="Z250" s="6"/>
      <c r="AA250" s="6"/>
      <c r="AB250" s="6"/>
      <c r="AC250" s="6"/>
      <c r="AD250" s="4"/>
      <c r="AE250" s="4"/>
      <c r="AF250" s="4"/>
      <c r="AG250" s="3"/>
      <c r="AI250" s="2"/>
      <c r="AJ250" s="6"/>
      <c r="AK250" s="3"/>
      <c r="AL250" s="3"/>
      <c r="AM250" s="3"/>
      <c r="AN250" s="5"/>
      <c r="AO250" s="3"/>
      <c r="AP250" s="2"/>
      <c r="AQ250" s="6"/>
      <c r="AR250" s="3"/>
      <c r="AS250" s="5"/>
      <c r="AT250" s="5"/>
      <c r="AU250" s="5"/>
    </row>
    <row r="251" spans="10:47" x14ac:dyDescent="0.25">
      <c r="J251" s="2"/>
      <c r="K251" s="4"/>
      <c r="L251" s="5"/>
      <c r="M251" s="4"/>
      <c r="N251" s="4"/>
      <c r="O251" s="4"/>
      <c r="P251" s="4"/>
      <c r="Q251" s="4"/>
      <c r="R251" s="4"/>
      <c r="S251" s="3"/>
      <c r="T251" s="3"/>
      <c r="U251" s="3"/>
      <c r="V251" s="3"/>
      <c r="W251" s="3"/>
      <c r="X251" s="2"/>
      <c r="Y251" s="2"/>
      <c r="Z251" s="6"/>
      <c r="AA251" s="6"/>
      <c r="AB251" s="6"/>
      <c r="AC251" s="6"/>
      <c r="AD251" s="4"/>
      <c r="AE251" s="4"/>
      <c r="AF251" s="4"/>
      <c r="AG251" s="4"/>
      <c r="AI251" s="6"/>
      <c r="AJ251" s="6"/>
      <c r="AK251" s="3"/>
      <c r="AL251" s="3"/>
      <c r="AM251" s="3"/>
      <c r="AN251" s="3"/>
      <c r="AO251" s="3"/>
      <c r="AP251" s="2"/>
      <c r="AQ251" s="6"/>
      <c r="AR251" s="3"/>
      <c r="AS251" s="5"/>
      <c r="AT251" s="5"/>
      <c r="AU251" s="5"/>
    </row>
    <row r="252" spans="10:47" x14ac:dyDescent="0.25">
      <c r="J252" s="2"/>
      <c r="K252" s="4"/>
      <c r="L252" s="5"/>
      <c r="M252" s="4"/>
      <c r="N252" s="4"/>
      <c r="O252" s="4"/>
      <c r="P252" s="4"/>
      <c r="Q252" s="4"/>
      <c r="R252" s="4"/>
      <c r="S252" s="3"/>
      <c r="T252" s="3"/>
      <c r="U252" s="3"/>
      <c r="V252" s="3"/>
      <c r="W252" s="3"/>
      <c r="X252" s="2"/>
      <c r="Y252" s="6"/>
      <c r="Z252" s="6"/>
      <c r="AA252" s="6"/>
      <c r="AB252" s="6"/>
      <c r="AC252" s="6"/>
      <c r="AD252" s="4"/>
      <c r="AE252" s="4"/>
      <c r="AF252" s="4"/>
      <c r="AG252" s="4"/>
      <c r="AI252" s="6"/>
      <c r="AJ252" s="6"/>
      <c r="AK252" s="3"/>
      <c r="AL252" s="3"/>
      <c r="AM252" s="3"/>
      <c r="AN252" s="5"/>
      <c r="AO252" s="3"/>
      <c r="AP252" s="2"/>
      <c r="AQ252" s="6"/>
      <c r="AR252" s="3"/>
      <c r="AS252" s="5"/>
      <c r="AT252" s="5"/>
      <c r="AU252" s="5"/>
    </row>
    <row r="253" spans="10:47" x14ac:dyDescent="0.25">
      <c r="J253" s="2"/>
      <c r="K253" s="4"/>
      <c r="L253" s="5"/>
      <c r="M253" s="4"/>
      <c r="N253" s="4"/>
      <c r="O253" s="4"/>
      <c r="P253" s="4"/>
      <c r="Q253" s="4"/>
      <c r="R253" s="4"/>
      <c r="S253" s="3"/>
      <c r="T253" s="3"/>
      <c r="U253" s="3"/>
      <c r="V253" s="3"/>
      <c r="W253" s="3"/>
      <c r="X253" s="2"/>
      <c r="Y253" s="6"/>
      <c r="Z253" s="6"/>
      <c r="AA253" s="6"/>
      <c r="AB253" s="6"/>
      <c r="AC253" s="6"/>
      <c r="AD253" s="4"/>
      <c r="AE253" s="4"/>
      <c r="AF253" s="4"/>
      <c r="AG253" s="3"/>
      <c r="AI253" s="6"/>
      <c r="AJ253" s="6"/>
      <c r="AK253" s="3"/>
      <c r="AL253" s="3"/>
      <c r="AM253" s="3"/>
      <c r="AN253" s="5"/>
      <c r="AO253" s="3"/>
      <c r="AP253" s="6"/>
      <c r="AQ253" s="6"/>
      <c r="AR253" s="3"/>
      <c r="AS253" s="5"/>
      <c r="AT253" s="5"/>
      <c r="AU253" s="5"/>
    </row>
    <row r="254" spans="10:47" x14ac:dyDescent="0.25">
      <c r="J254" s="2"/>
      <c r="K254" s="4"/>
      <c r="L254" s="5"/>
      <c r="M254" s="4"/>
      <c r="N254" s="4"/>
      <c r="O254" s="4"/>
      <c r="P254" s="4"/>
      <c r="Q254" s="4"/>
      <c r="R254" s="4"/>
      <c r="S254" s="3"/>
      <c r="T254" s="3"/>
      <c r="U254" s="3"/>
      <c r="V254" s="3"/>
      <c r="W254" s="3"/>
      <c r="X254" s="2"/>
      <c r="Y254" s="6"/>
      <c r="Z254" s="6"/>
      <c r="AA254" s="6"/>
      <c r="AB254" s="6"/>
      <c r="AC254" s="6"/>
      <c r="AD254" s="4"/>
      <c r="AE254" s="4"/>
      <c r="AF254" s="4"/>
      <c r="AG254" s="4"/>
      <c r="AI254" s="6"/>
      <c r="AJ254" s="6"/>
      <c r="AK254" s="3"/>
      <c r="AL254" s="3"/>
      <c r="AM254" s="3"/>
      <c r="AN254" s="5"/>
      <c r="AO254" s="3"/>
      <c r="AP254" s="2"/>
      <c r="AQ254" s="6"/>
      <c r="AR254" s="3"/>
      <c r="AS254" s="5"/>
      <c r="AT254" s="5"/>
      <c r="AU254" s="5"/>
    </row>
    <row r="255" spans="10:47" x14ac:dyDescent="0.25">
      <c r="J255" s="2"/>
      <c r="K255" s="4"/>
      <c r="L255" s="5"/>
      <c r="M255" s="4"/>
      <c r="N255" s="4"/>
      <c r="O255" s="4"/>
      <c r="P255" s="4"/>
      <c r="Q255" s="4"/>
      <c r="R255" s="4"/>
      <c r="S255" s="3"/>
      <c r="T255" s="3"/>
      <c r="U255" s="3"/>
      <c r="V255" s="3"/>
      <c r="W255" s="3"/>
      <c r="X255" s="2"/>
      <c r="Y255" s="2"/>
      <c r="Z255" s="6"/>
      <c r="AA255" s="6"/>
      <c r="AB255" s="6"/>
      <c r="AC255" s="6"/>
      <c r="AD255" s="4"/>
      <c r="AE255" s="4"/>
      <c r="AF255" s="4"/>
      <c r="AG255" s="3"/>
      <c r="AI255" s="6"/>
      <c r="AJ255" s="6"/>
      <c r="AK255" s="3"/>
      <c r="AL255" s="3"/>
      <c r="AM255" s="3"/>
      <c r="AN255" s="3"/>
      <c r="AO255" s="3"/>
      <c r="AP255" s="2"/>
      <c r="AQ255" s="6"/>
      <c r="AR255" s="3"/>
      <c r="AS255" s="5"/>
      <c r="AT255" s="5"/>
      <c r="AU255" s="5"/>
    </row>
    <row r="256" spans="10:47" x14ac:dyDescent="0.25">
      <c r="J256" s="2"/>
      <c r="K256" s="4"/>
      <c r="L256" s="5"/>
      <c r="M256" s="4"/>
      <c r="N256" s="4"/>
      <c r="O256" s="4"/>
      <c r="P256" s="4"/>
      <c r="Q256" s="4"/>
      <c r="R256" s="4"/>
      <c r="S256" s="3"/>
      <c r="T256" s="3"/>
      <c r="U256" s="3"/>
      <c r="V256" s="3"/>
      <c r="W256" s="3"/>
      <c r="X256" s="2"/>
      <c r="Y256" s="2"/>
      <c r="Z256" s="6"/>
      <c r="AA256" s="6"/>
      <c r="AB256" s="2"/>
      <c r="AC256" s="6"/>
      <c r="AD256" s="4"/>
      <c r="AE256" s="4"/>
      <c r="AF256" s="4"/>
      <c r="AG256" s="4"/>
      <c r="AI256" s="6"/>
      <c r="AJ256" s="6"/>
      <c r="AK256" s="3"/>
      <c r="AL256" s="3"/>
      <c r="AM256" s="3"/>
      <c r="AN256" s="3"/>
      <c r="AO256" s="3"/>
      <c r="AP256" s="2"/>
      <c r="AQ256" s="6"/>
      <c r="AR256" s="3"/>
      <c r="AS256" s="5"/>
      <c r="AT256" s="5"/>
      <c r="AU256" s="5"/>
    </row>
    <row r="257" spans="10:47" x14ac:dyDescent="0.25">
      <c r="J257" s="2"/>
      <c r="K257" s="4"/>
      <c r="L257" s="5"/>
      <c r="M257" s="4"/>
      <c r="N257" s="4"/>
      <c r="O257" s="4"/>
      <c r="P257" s="4"/>
      <c r="Q257" s="4"/>
      <c r="R257" s="4"/>
      <c r="S257" s="3"/>
      <c r="T257" s="3"/>
      <c r="U257" s="3"/>
      <c r="V257" s="3"/>
      <c r="W257" s="3"/>
      <c r="X257" s="2"/>
      <c r="Y257" s="2"/>
      <c r="Z257" s="6"/>
      <c r="AA257" s="6"/>
      <c r="AB257" s="6"/>
      <c r="AC257" s="6"/>
      <c r="AD257" s="4"/>
      <c r="AE257" s="4"/>
      <c r="AF257" s="4"/>
      <c r="AG257" s="3"/>
      <c r="AI257" s="6"/>
      <c r="AJ257" s="6"/>
      <c r="AK257" s="3"/>
      <c r="AL257" s="3"/>
      <c r="AM257" s="3"/>
      <c r="AN257" s="3"/>
      <c r="AO257" s="3"/>
      <c r="AP257" s="2"/>
      <c r="AQ257" s="6"/>
      <c r="AR257" s="3"/>
      <c r="AS257" s="5"/>
      <c r="AT257" s="5"/>
      <c r="AU257" s="5"/>
    </row>
    <row r="258" spans="10:47" x14ac:dyDescent="0.25">
      <c r="J258" s="2"/>
      <c r="K258" s="4"/>
      <c r="L258" s="5"/>
      <c r="M258" s="4"/>
      <c r="N258" s="4"/>
      <c r="O258" s="4"/>
      <c r="P258" s="4"/>
      <c r="Q258" s="4"/>
      <c r="R258" s="4"/>
      <c r="S258" s="3"/>
      <c r="T258" s="3"/>
      <c r="U258" s="3"/>
      <c r="V258" s="3"/>
      <c r="W258" s="3"/>
      <c r="X258" s="2"/>
      <c r="Y258" s="2"/>
      <c r="Z258" s="6"/>
      <c r="AA258" s="6"/>
      <c r="AB258" s="6"/>
      <c r="AC258" s="6"/>
      <c r="AD258" s="4"/>
      <c r="AE258" s="4"/>
      <c r="AF258" s="4"/>
      <c r="AG258" s="3"/>
      <c r="AI258" s="6"/>
      <c r="AJ258" s="6"/>
      <c r="AK258" s="3"/>
      <c r="AL258" s="3"/>
      <c r="AM258" s="3"/>
      <c r="AN258" s="3"/>
      <c r="AO258" s="3"/>
      <c r="AP258" s="6"/>
      <c r="AQ258" s="6"/>
      <c r="AR258" s="3"/>
      <c r="AS258" s="5"/>
      <c r="AT258" s="5"/>
      <c r="AU258" s="5"/>
    </row>
    <row r="259" spans="10:47" x14ac:dyDescent="0.25">
      <c r="J259" s="2"/>
      <c r="K259" s="4"/>
      <c r="L259" s="5"/>
      <c r="M259" s="4"/>
      <c r="N259" s="4"/>
      <c r="O259" s="4"/>
      <c r="P259" s="4"/>
      <c r="Q259" s="4"/>
      <c r="R259" s="4"/>
      <c r="S259" s="3"/>
      <c r="T259" s="3"/>
      <c r="U259" s="3"/>
      <c r="V259" s="3"/>
      <c r="W259" s="3"/>
      <c r="X259" s="2"/>
      <c r="Y259" s="6"/>
      <c r="Z259" s="6"/>
      <c r="AA259" s="6"/>
      <c r="AB259" s="6"/>
      <c r="AC259" s="6"/>
      <c r="AD259" s="4"/>
      <c r="AE259" s="4"/>
      <c r="AF259" s="4"/>
      <c r="AG259" s="4"/>
      <c r="AI259" s="6"/>
      <c r="AJ259" s="6"/>
      <c r="AK259" s="3"/>
      <c r="AL259" s="3"/>
      <c r="AM259" s="3"/>
      <c r="AN259" s="5"/>
      <c r="AO259" s="3"/>
      <c r="AP259" s="2"/>
      <c r="AQ259" s="6"/>
      <c r="AR259" s="3"/>
      <c r="AS259" s="5"/>
      <c r="AT259" s="5"/>
      <c r="AU259" s="5"/>
    </row>
    <row r="260" spans="10:47" x14ac:dyDescent="0.25">
      <c r="J260" s="2"/>
      <c r="K260" s="4"/>
      <c r="L260" s="5"/>
      <c r="M260" s="4"/>
      <c r="N260" s="4"/>
      <c r="O260" s="4"/>
      <c r="P260" s="4"/>
      <c r="Q260" s="4"/>
      <c r="R260" s="4"/>
      <c r="S260" s="3"/>
      <c r="T260" s="3"/>
      <c r="U260" s="3"/>
      <c r="V260" s="3"/>
      <c r="W260" s="3"/>
      <c r="X260" s="2"/>
      <c r="Y260" s="2"/>
      <c r="Z260" s="6"/>
      <c r="AA260" s="6"/>
      <c r="AB260" s="6"/>
      <c r="AC260" s="6"/>
      <c r="AD260" s="4"/>
      <c r="AE260" s="4"/>
      <c r="AF260" s="4"/>
      <c r="AG260" s="3"/>
      <c r="AI260" s="6"/>
      <c r="AJ260" s="6"/>
      <c r="AK260" s="3"/>
      <c r="AL260" s="3"/>
      <c r="AM260" s="3"/>
      <c r="AN260" s="3"/>
      <c r="AO260" s="3"/>
      <c r="AP260" s="2"/>
      <c r="AQ260" s="6"/>
      <c r="AR260" s="3"/>
      <c r="AS260" s="5"/>
      <c r="AT260" s="5"/>
      <c r="AU260" s="5"/>
    </row>
    <row r="261" spans="10:47" x14ac:dyDescent="0.25">
      <c r="J261" s="2"/>
      <c r="K261" s="4"/>
      <c r="L261" s="5"/>
      <c r="M261" s="4"/>
      <c r="N261" s="4"/>
      <c r="O261" s="4"/>
      <c r="P261" s="4"/>
      <c r="Q261" s="4"/>
      <c r="R261" s="4"/>
      <c r="S261" s="3"/>
      <c r="T261" s="3"/>
      <c r="U261" s="3"/>
      <c r="V261" s="3"/>
      <c r="W261" s="3"/>
      <c r="X261" s="2"/>
      <c r="Y261" s="2"/>
      <c r="Z261" s="6"/>
      <c r="AA261" s="6"/>
      <c r="AB261" s="6"/>
      <c r="AC261" s="6"/>
      <c r="AD261" s="4"/>
      <c r="AE261" s="4"/>
      <c r="AF261" s="4"/>
      <c r="AG261" s="4"/>
      <c r="AI261" s="6"/>
      <c r="AJ261" s="6"/>
      <c r="AK261" s="3"/>
      <c r="AL261" s="3"/>
      <c r="AM261" s="3"/>
      <c r="AN261" s="3"/>
      <c r="AO261" s="3"/>
      <c r="AP261" s="2"/>
      <c r="AQ261" s="6"/>
      <c r="AR261" s="3"/>
      <c r="AS261" s="5"/>
      <c r="AT261" s="5"/>
      <c r="AU261" s="5"/>
    </row>
    <row r="262" spans="10:47" x14ac:dyDescent="0.25">
      <c r="J262" s="2"/>
      <c r="K262" s="4"/>
      <c r="L262" s="5"/>
      <c r="M262" s="4"/>
      <c r="N262" s="4"/>
      <c r="O262" s="4"/>
      <c r="P262" s="4"/>
      <c r="Q262" s="4"/>
      <c r="R262" s="4"/>
      <c r="S262" s="3"/>
      <c r="T262" s="3"/>
      <c r="U262" s="3"/>
      <c r="V262" s="3"/>
      <c r="W262" s="3"/>
      <c r="X262" s="2"/>
      <c r="Y262" s="6"/>
      <c r="Z262" s="6"/>
      <c r="AA262" s="6"/>
      <c r="AB262" s="6"/>
      <c r="AC262" s="6"/>
      <c r="AD262" s="4"/>
      <c r="AE262" s="4"/>
      <c r="AF262" s="4"/>
      <c r="AG262" s="3"/>
      <c r="AI262" s="6"/>
      <c r="AJ262" s="6"/>
      <c r="AK262" s="3"/>
      <c r="AL262" s="3"/>
      <c r="AM262" s="3"/>
      <c r="AN262" s="5"/>
      <c r="AO262" s="3"/>
      <c r="AP262" s="2"/>
      <c r="AQ262" s="6"/>
      <c r="AR262" s="3"/>
      <c r="AS262" s="5"/>
      <c r="AT262" s="5"/>
      <c r="AU262" s="5"/>
    </row>
    <row r="263" spans="10:47" x14ac:dyDescent="0.25">
      <c r="J263" s="2"/>
      <c r="K263" s="4"/>
      <c r="L263" s="5"/>
      <c r="M263" s="4"/>
      <c r="N263" s="4"/>
      <c r="O263" s="4"/>
      <c r="P263" s="4"/>
      <c r="Q263" s="4"/>
      <c r="R263" s="4"/>
      <c r="S263" s="3"/>
      <c r="T263" s="3"/>
      <c r="U263" s="3"/>
      <c r="V263" s="3"/>
      <c r="W263" s="3"/>
      <c r="X263" s="2"/>
      <c r="Y263" s="6"/>
      <c r="Z263" s="6"/>
      <c r="AA263" s="6"/>
      <c r="AB263" s="6"/>
      <c r="AC263" s="6"/>
      <c r="AD263" s="4"/>
      <c r="AE263" s="4"/>
      <c r="AF263" s="4"/>
      <c r="AG263" s="3"/>
      <c r="AI263" s="6"/>
      <c r="AJ263" s="6"/>
      <c r="AK263" s="3"/>
      <c r="AL263" s="3"/>
      <c r="AM263" s="3"/>
      <c r="AN263" s="5"/>
      <c r="AO263" s="3"/>
      <c r="AP263" s="6"/>
      <c r="AQ263" s="6"/>
      <c r="AR263" s="3"/>
      <c r="AS263" s="5"/>
      <c r="AT263" s="5"/>
      <c r="AU263" s="3"/>
    </row>
    <row r="264" spans="10:47" x14ac:dyDescent="0.25">
      <c r="J264" s="2"/>
      <c r="K264" s="4"/>
      <c r="L264" s="5"/>
      <c r="M264" s="4"/>
      <c r="N264" s="4"/>
      <c r="O264" s="4"/>
      <c r="P264" s="4"/>
      <c r="Q264" s="4"/>
      <c r="R264" s="4"/>
      <c r="S264" s="3"/>
      <c r="T264" s="3"/>
      <c r="U264" s="3"/>
      <c r="V264" s="3"/>
      <c r="W264" s="3"/>
      <c r="X264" s="2"/>
      <c r="Y264" s="6"/>
      <c r="Z264" s="6"/>
      <c r="AA264" s="6"/>
      <c r="AB264" s="6"/>
      <c r="AC264" s="6"/>
      <c r="AD264" s="4"/>
      <c r="AE264" s="4"/>
      <c r="AF264" s="4"/>
      <c r="AG264" s="4"/>
      <c r="AI264" s="6"/>
      <c r="AJ264" s="6"/>
      <c r="AK264" s="3"/>
      <c r="AL264" s="3"/>
      <c r="AM264" s="3"/>
      <c r="AN264" s="5"/>
      <c r="AO264" s="3"/>
      <c r="AP264" s="2"/>
      <c r="AQ264" s="6"/>
      <c r="AR264" s="3"/>
      <c r="AS264" s="5"/>
      <c r="AT264" s="5"/>
      <c r="AU264" s="5"/>
    </row>
    <row r="265" spans="10:47" x14ac:dyDescent="0.25">
      <c r="J265" s="2"/>
      <c r="K265" s="4"/>
      <c r="L265" s="5"/>
      <c r="M265" s="4"/>
      <c r="N265" s="4"/>
      <c r="O265" s="4"/>
      <c r="P265" s="4"/>
      <c r="Q265" s="4"/>
      <c r="R265" s="4"/>
      <c r="S265" s="3"/>
      <c r="T265" s="3"/>
      <c r="U265" s="3"/>
      <c r="V265" s="3"/>
      <c r="W265" s="3"/>
      <c r="X265" s="2"/>
      <c r="Y265" s="2"/>
      <c r="Z265" s="6"/>
      <c r="AA265" s="6"/>
      <c r="AB265" s="6"/>
      <c r="AC265" s="6"/>
      <c r="AD265" s="4"/>
      <c r="AE265" s="4"/>
      <c r="AF265" s="4"/>
      <c r="AG265" s="3"/>
      <c r="AI265" s="6"/>
      <c r="AJ265" s="6"/>
      <c r="AK265" s="3"/>
      <c r="AL265" s="3"/>
      <c r="AM265" s="3"/>
      <c r="AN265" s="3"/>
      <c r="AO265" s="3"/>
      <c r="AP265" s="2"/>
      <c r="AQ265" s="6"/>
      <c r="AR265" s="3"/>
      <c r="AS265" s="5"/>
      <c r="AT265" s="5"/>
      <c r="AU265" s="5"/>
    </row>
    <row r="266" spans="10:47" x14ac:dyDescent="0.25">
      <c r="J266" s="2"/>
      <c r="K266" s="4"/>
      <c r="L266" s="5"/>
      <c r="M266" s="4"/>
      <c r="N266" s="4"/>
      <c r="O266" s="4"/>
      <c r="P266" s="4"/>
      <c r="Q266" s="4"/>
      <c r="R266" s="4"/>
      <c r="S266" s="3"/>
      <c r="T266" s="3"/>
      <c r="U266" s="3"/>
      <c r="V266" s="3"/>
      <c r="W266" s="3"/>
      <c r="X266" s="2"/>
      <c r="Y266" s="2"/>
      <c r="Z266" s="6"/>
      <c r="AA266" s="6"/>
      <c r="AB266" s="6"/>
      <c r="AC266" s="6"/>
      <c r="AD266" s="4"/>
      <c r="AE266" s="4"/>
      <c r="AF266" s="4"/>
      <c r="AG266" s="4"/>
      <c r="AI266" s="6"/>
      <c r="AJ266" s="6"/>
      <c r="AK266" s="3"/>
      <c r="AL266" s="3"/>
      <c r="AM266" s="3"/>
      <c r="AN266" s="3"/>
      <c r="AO266" s="3"/>
      <c r="AP266" s="2"/>
      <c r="AQ266" s="6"/>
      <c r="AR266" s="3"/>
      <c r="AS266" s="5"/>
      <c r="AT266" s="5"/>
      <c r="AU266" s="5"/>
    </row>
    <row r="267" spans="10:47" x14ac:dyDescent="0.25">
      <c r="J267" s="2"/>
      <c r="K267" s="4"/>
      <c r="L267" s="5"/>
      <c r="M267" s="4"/>
      <c r="N267" s="4"/>
      <c r="O267" s="4"/>
      <c r="P267" s="4"/>
      <c r="Q267" s="4"/>
      <c r="R267" s="4"/>
      <c r="S267" s="3"/>
      <c r="T267" s="3"/>
      <c r="U267" s="3"/>
      <c r="V267" s="3"/>
      <c r="W267" s="3"/>
      <c r="X267" s="2"/>
      <c r="Y267" s="6"/>
      <c r="Z267" s="6"/>
      <c r="AA267" s="6"/>
      <c r="AB267" s="6"/>
      <c r="AC267" s="6"/>
      <c r="AD267" s="4"/>
      <c r="AE267" s="4"/>
      <c r="AF267" s="4"/>
      <c r="AG267" s="4"/>
      <c r="AI267" s="6"/>
      <c r="AJ267" s="6"/>
      <c r="AK267" s="3"/>
      <c r="AL267" s="3"/>
      <c r="AM267" s="3"/>
      <c r="AN267" s="5"/>
      <c r="AO267" s="3"/>
      <c r="AP267" s="2"/>
      <c r="AQ267" s="2"/>
      <c r="AR267" s="3"/>
      <c r="AS267" s="5"/>
      <c r="AT267" s="5"/>
      <c r="AU267" s="5"/>
    </row>
    <row r="268" spans="10:47" x14ac:dyDescent="0.25">
      <c r="J268" s="2"/>
      <c r="K268" s="4"/>
      <c r="L268" s="5"/>
      <c r="M268" s="4"/>
      <c r="N268" s="4"/>
      <c r="O268" s="4"/>
      <c r="P268" s="4"/>
      <c r="Q268" s="4"/>
      <c r="R268" s="4"/>
      <c r="S268" s="3"/>
      <c r="T268" s="3"/>
      <c r="U268" s="3"/>
      <c r="V268" s="3"/>
      <c r="W268" s="3"/>
      <c r="X268" s="2"/>
      <c r="Y268" s="6"/>
      <c r="Z268" s="6"/>
      <c r="AA268" s="6"/>
      <c r="AB268" s="6"/>
      <c r="AC268" s="6"/>
      <c r="AD268" s="4"/>
      <c r="AE268" s="4"/>
      <c r="AF268" s="4"/>
      <c r="AG268" s="3"/>
      <c r="AI268" s="6"/>
      <c r="AJ268" s="6"/>
      <c r="AK268" s="3"/>
      <c r="AL268" s="3"/>
      <c r="AM268" s="3"/>
      <c r="AN268" s="5"/>
      <c r="AO268" s="3"/>
      <c r="AP268" s="6"/>
      <c r="AQ268" s="6"/>
      <c r="AR268" s="3"/>
      <c r="AS268" s="5"/>
      <c r="AT268" s="5"/>
      <c r="AU268" s="5"/>
    </row>
    <row r="269" spans="10:47" x14ac:dyDescent="0.25">
      <c r="J269" s="2"/>
      <c r="K269" s="4"/>
      <c r="L269" s="5"/>
      <c r="M269" s="4"/>
      <c r="N269" s="4"/>
      <c r="O269" s="4"/>
      <c r="P269" s="4"/>
      <c r="Q269" s="4"/>
      <c r="R269" s="4"/>
      <c r="S269" s="3"/>
      <c r="T269" s="3"/>
      <c r="U269" s="3"/>
      <c r="V269" s="3"/>
      <c r="W269" s="3"/>
      <c r="X269" s="2"/>
      <c r="Y269" s="6"/>
      <c r="Z269" s="6"/>
      <c r="AA269" s="6"/>
      <c r="AB269" s="6"/>
      <c r="AC269" s="6"/>
      <c r="AD269" s="4"/>
      <c r="AE269" s="4"/>
      <c r="AF269" s="4"/>
      <c r="AG269" s="4"/>
      <c r="AI269" s="6"/>
      <c r="AJ269" s="6"/>
      <c r="AK269" s="3"/>
      <c r="AL269" s="3"/>
      <c r="AM269" s="3"/>
      <c r="AN269" s="5"/>
      <c r="AO269" s="3"/>
      <c r="AP269" s="2"/>
      <c r="AQ269" s="6"/>
      <c r="AR269" s="3"/>
      <c r="AS269" s="5"/>
      <c r="AT269" s="5"/>
      <c r="AU269" s="5"/>
    </row>
    <row r="270" spans="10:47" x14ac:dyDescent="0.25">
      <c r="J270" s="2"/>
      <c r="K270" s="4"/>
      <c r="L270" s="5"/>
      <c r="M270" s="4"/>
      <c r="N270" s="4"/>
      <c r="O270" s="4"/>
      <c r="P270" s="4"/>
      <c r="Q270" s="4"/>
      <c r="R270" s="4"/>
      <c r="S270" s="3"/>
      <c r="T270" s="3"/>
      <c r="U270" s="3"/>
      <c r="V270" s="3"/>
      <c r="W270" s="3"/>
      <c r="X270" s="2"/>
      <c r="Y270" s="2"/>
      <c r="Z270" s="6"/>
      <c r="AA270" s="6"/>
      <c r="AB270" s="6"/>
      <c r="AC270" s="6"/>
      <c r="AD270" s="4"/>
      <c r="AE270" s="4"/>
      <c r="AF270" s="4"/>
      <c r="AG270" s="3"/>
      <c r="AI270" s="6"/>
      <c r="AJ270" s="6"/>
      <c r="AK270" s="3"/>
      <c r="AL270" s="3"/>
      <c r="AM270" s="3"/>
      <c r="AN270" s="3"/>
      <c r="AO270" s="3"/>
      <c r="AP270" s="2"/>
      <c r="AQ270" s="6"/>
      <c r="AR270" s="3"/>
      <c r="AS270" s="5"/>
      <c r="AT270" s="5"/>
      <c r="AU270" s="5"/>
    </row>
    <row r="271" spans="10:47" x14ac:dyDescent="0.25">
      <c r="J271" s="2"/>
      <c r="K271" s="4"/>
      <c r="L271" s="5"/>
      <c r="M271" s="4"/>
      <c r="N271" s="4"/>
      <c r="O271" s="4"/>
      <c r="P271" s="4"/>
      <c r="Q271" s="4"/>
      <c r="R271" s="4"/>
      <c r="S271" s="3"/>
      <c r="T271" s="3"/>
      <c r="U271" s="3"/>
      <c r="V271" s="3"/>
      <c r="W271" s="3"/>
      <c r="X271" s="2"/>
      <c r="Y271" s="6"/>
      <c r="Z271" s="6"/>
      <c r="AA271" s="6"/>
      <c r="AB271" s="6"/>
      <c r="AC271" s="6"/>
      <c r="AD271" s="4"/>
      <c r="AE271" s="4"/>
      <c r="AF271" s="4"/>
      <c r="AG271" s="4"/>
      <c r="AI271" s="6"/>
      <c r="AJ271" s="6"/>
      <c r="AK271" s="3"/>
      <c r="AL271" s="3"/>
      <c r="AM271" s="3"/>
      <c r="AN271" s="3"/>
      <c r="AO271" s="3"/>
      <c r="AP271" s="2"/>
      <c r="AQ271" s="6"/>
      <c r="AR271" s="3"/>
      <c r="AS271" s="5"/>
      <c r="AT271" s="5"/>
      <c r="AU271" s="5"/>
    </row>
    <row r="272" spans="10:47" x14ac:dyDescent="0.25">
      <c r="J272" s="2"/>
      <c r="K272" s="4"/>
      <c r="L272" s="5"/>
      <c r="M272" s="4"/>
      <c r="N272" s="4"/>
      <c r="O272" s="4"/>
      <c r="P272" s="4"/>
      <c r="Q272" s="4"/>
      <c r="R272" s="4"/>
      <c r="S272" s="3"/>
      <c r="T272" s="3"/>
      <c r="U272" s="3"/>
      <c r="V272" s="3"/>
      <c r="W272" s="3"/>
      <c r="X272" s="2"/>
      <c r="Y272" s="6"/>
      <c r="Z272" s="6"/>
      <c r="AA272" s="6"/>
      <c r="AB272" s="6"/>
      <c r="AC272" s="6"/>
      <c r="AD272" s="4"/>
      <c r="AE272" s="4"/>
      <c r="AF272" s="4"/>
      <c r="AG272" s="3"/>
      <c r="AI272" s="6"/>
      <c r="AJ272" s="6"/>
      <c r="AK272" s="3"/>
      <c r="AL272" s="3"/>
      <c r="AM272" s="3"/>
      <c r="AN272" s="5"/>
      <c r="AO272" s="3"/>
      <c r="AP272" s="2"/>
      <c r="AQ272" s="6"/>
      <c r="AR272" s="3"/>
      <c r="AS272" s="5"/>
      <c r="AT272" s="5"/>
      <c r="AU272" s="5"/>
    </row>
    <row r="273" spans="10:47" x14ac:dyDescent="0.25">
      <c r="J273" s="2"/>
      <c r="K273" s="4"/>
      <c r="L273" s="5"/>
      <c r="M273" s="4"/>
      <c r="N273" s="4"/>
      <c r="O273" s="4"/>
      <c r="P273" s="4"/>
      <c r="Q273" s="4"/>
      <c r="R273" s="4"/>
      <c r="S273" s="3"/>
      <c r="T273" s="3"/>
      <c r="U273" s="3"/>
      <c r="V273" s="3"/>
      <c r="W273" s="3"/>
      <c r="X273" s="2"/>
      <c r="Y273" s="6"/>
      <c r="Z273" s="6"/>
      <c r="AA273" s="6"/>
      <c r="AB273" s="6"/>
      <c r="AC273" s="6"/>
      <c r="AD273" s="4"/>
      <c r="AE273" s="4"/>
      <c r="AF273" s="4"/>
      <c r="AG273" s="3"/>
      <c r="AI273" s="6"/>
      <c r="AJ273" s="6"/>
      <c r="AK273" s="3"/>
      <c r="AL273" s="3"/>
      <c r="AM273" s="3"/>
      <c r="AN273" s="5"/>
      <c r="AO273" s="3"/>
      <c r="AP273" s="6"/>
      <c r="AQ273" s="6"/>
      <c r="AR273" s="3"/>
      <c r="AS273" s="5"/>
      <c r="AT273" s="5"/>
      <c r="AU273" s="5"/>
    </row>
    <row r="274" spans="10:47" x14ac:dyDescent="0.25">
      <c r="J274" s="2"/>
      <c r="K274" s="4"/>
      <c r="L274" s="5"/>
      <c r="M274" s="4"/>
      <c r="N274" s="4"/>
      <c r="O274" s="4"/>
      <c r="P274" s="4"/>
      <c r="Q274" s="4"/>
      <c r="R274" s="4"/>
      <c r="S274" s="3"/>
      <c r="T274" s="3"/>
      <c r="U274" s="3"/>
      <c r="V274" s="3"/>
      <c r="W274" s="3"/>
      <c r="X274" s="2"/>
      <c r="Y274" s="6"/>
      <c r="Z274" s="6"/>
      <c r="AA274" s="6"/>
      <c r="AB274" s="6"/>
      <c r="AC274" s="6"/>
      <c r="AD274" s="4"/>
      <c r="AE274" s="4"/>
      <c r="AF274" s="4"/>
      <c r="AG274" s="4"/>
      <c r="AI274" s="6"/>
      <c r="AJ274" s="6"/>
      <c r="AK274" s="3"/>
      <c r="AL274" s="3"/>
      <c r="AM274" s="3"/>
      <c r="AN274" s="5"/>
      <c r="AO274" s="3"/>
      <c r="AP274" s="2"/>
      <c r="AQ274" s="6"/>
      <c r="AR274" s="3"/>
      <c r="AS274" s="5"/>
      <c r="AT274" s="5"/>
      <c r="AU274" s="5"/>
    </row>
    <row r="275" spans="10:47" x14ac:dyDescent="0.25">
      <c r="J275" s="2"/>
      <c r="K275" s="4"/>
      <c r="L275" s="5"/>
      <c r="M275" s="4"/>
      <c r="N275" s="4"/>
      <c r="O275" s="4"/>
      <c r="P275" s="4"/>
      <c r="Q275" s="4"/>
      <c r="R275" s="4"/>
      <c r="S275" s="3"/>
      <c r="T275" s="3"/>
      <c r="U275" s="3"/>
      <c r="V275" s="3"/>
      <c r="W275" s="3"/>
      <c r="X275" s="2"/>
      <c r="Y275" s="2"/>
      <c r="Z275" s="6"/>
      <c r="AA275" s="6"/>
      <c r="AB275" s="6"/>
      <c r="AC275" s="6"/>
      <c r="AD275" s="4"/>
      <c r="AE275" s="4"/>
      <c r="AF275" s="4"/>
      <c r="AG275" s="3"/>
      <c r="AI275" s="6"/>
      <c r="AJ275" s="6"/>
      <c r="AK275" s="3"/>
      <c r="AL275" s="3"/>
      <c r="AM275" s="3"/>
      <c r="AN275" s="3"/>
      <c r="AO275" s="3"/>
      <c r="AP275" s="2"/>
      <c r="AQ275" s="6"/>
      <c r="AR275" s="3"/>
      <c r="AS275" s="5"/>
      <c r="AT275" s="5"/>
      <c r="AU275" s="5"/>
    </row>
    <row r="276" spans="10:47" x14ac:dyDescent="0.25">
      <c r="J276" s="2"/>
      <c r="K276" s="4"/>
      <c r="L276" s="5"/>
      <c r="M276" s="4"/>
      <c r="N276" s="4"/>
      <c r="O276" s="4"/>
      <c r="P276" s="4"/>
      <c r="Q276" s="4"/>
      <c r="R276" s="4"/>
      <c r="S276" s="3"/>
      <c r="T276" s="3"/>
      <c r="U276" s="3"/>
      <c r="V276" s="3"/>
      <c r="W276" s="3"/>
      <c r="X276" s="2"/>
      <c r="Y276" s="6"/>
      <c r="Z276" s="6"/>
      <c r="AA276" s="6"/>
      <c r="AB276" s="6"/>
      <c r="AC276" s="6"/>
      <c r="AD276" s="4"/>
      <c r="AE276" s="4"/>
      <c r="AF276" s="4"/>
      <c r="AG276" s="4"/>
      <c r="AH276" s="3"/>
      <c r="AI276" s="6"/>
      <c r="AJ276" s="6"/>
      <c r="AK276" s="3"/>
      <c r="AL276" s="3"/>
      <c r="AM276" s="3"/>
      <c r="AN276" s="3"/>
      <c r="AO276" s="3"/>
      <c r="AP276" s="2"/>
      <c r="AQ276" s="6"/>
      <c r="AR276" s="3"/>
      <c r="AS276" s="5"/>
      <c r="AT276" s="5"/>
      <c r="AU27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0"/>
  <sheetViews>
    <sheetView workbookViewId="0"/>
  </sheetViews>
  <sheetFormatPr defaultRowHeight="15" x14ac:dyDescent="0.25"/>
  <cols>
    <col min="1" max="1" width="50" customWidth="1"/>
    <col min="2" max="3" width="100" customWidth="1"/>
  </cols>
  <sheetData>
    <row r="1" spans="1:4" x14ac:dyDescent="0.25">
      <c r="A1" s="7" t="s">
        <v>48</v>
      </c>
      <c r="B1" s="7" t="s">
        <v>49</v>
      </c>
      <c r="C1" s="7" t="s">
        <v>50</v>
      </c>
      <c r="D1" s="7" t="s">
        <v>51</v>
      </c>
    </row>
    <row r="2" spans="1:4" x14ac:dyDescent="0.25">
      <c r="A2" s="8" t="s">
        <v>52</v>
      </c>
      <c r="B2" s="8" t="s">
        <v>9</v>
      </c>
      <c r="C2" s="8" t="s">
        <v>53</v>
      </c>
      <c r="D2" s="8" t="s">
        <v>54</v>
      </c>
    </row>
    <row r="3" spans="1:4" x14ac:dyDescent="0.25">
      <c r="A3" s="8" t="s">
        <v>55</v>
      </c>
      <c r="B3" s="8" t="s">
        <v>56</v>
      </c>
      <c r="D3" s="8" t="s">
        <v>54</v>
      </c>
    </row>
    <row r="4" spans="1:4" ht="45" x14ac:dyDescent="0.25">
      <c r="A4" s="8" t="s">
        <v>57</v>
      </c>
      <c r="B4" s="8" t="s">
        <v>10</v>
      </c>
      <c r="C4" s="8" t="s">
        <v>58</v>
      </c>
      <c r="D4" s="8" t="s">
        <v>54</v>
      </c>
    </row>
    <row r="5" spans="1:4" x14ac:dyDescent="0.25">
      <c r="A5" s="8" t="s">
        <v>59</v>
      </c>
      <c r="B5" s="8" t="s">
        <v>60</v>
      </c>
      <c r="D5" s="8" t="s">
        <v>54</v>
      </c>
    </row>
    <row r="6" spans="1:4" x14ac:dyDescent="0.25">
      <c r="A6" s="8" t="s">
        <v>61</v>
      </c>
      <c r="B6" s="8" t="s">
        <v>62</v>
      </c>
      <c r="D6" s="8" t="s">
        <v>54</v>
      </c>
    </row>
    <row r="7" spans="1:4" x14ac:dyDescent="0.25">
      <c r="A7" s="8" t="s">
        <v>63</v>
      </c>
      <c r="B7" s="8" t="s">
        <v>64</v>
      </c>
      <c r="D7" s="8" t="s">
        <v>54</v>
      </c>
    </row>
    <row r="8" spans="1:4" x14ac:dyDescent="0.25">
      <c r="A8" s="8" t="s">
        <v>65</v>
      </c>
      <c r="B8" s="8" t="s">
        <v>66</v>
      </c>
      <c r="D8" s="8" t="s">
        <v>54</v>
      </c>
    </row>
    <row r="9" spans="1:4" x14ac:dyDescent="0.25">
      <c r="A9" s="8" t="s">
        <v>67</v>
      </c>
      <c r="B9" s="8" t="s">
        <v>68</v>
      </c>
      <c r="D9" s="8" t="s">
        <v>54</v>
      </c>
    </row>
    <row r="10" spans="1:4" x14ac:dyDescent="0.25">
      <c r="A10" s="8" t="s">
        <v>69</v>
      </c>
      <c r="B10" s="8" t="s">
        <v>70</v>
      </c>
      <c r="D10" s="8" t="s">
        <v>54</v>
      </c>
    </row>
    <row r="11" spans="1:4" x14ac:dyDescent="0.25">
      <c r="A11" s="8" t="s">
        <v>71</v>
      </c>
      <c r="B11" s="8" t="s">
        <v>72</v>
      </c>
      <c r="D11" s="8" t="s">
        <v>54</v>
      </c>
    </row>
    <row r="12" spans="1:4" x14ac:dyDescent="0.25">
      <c r="A12" s="8" t="s">
        <v>73</v>
      </c>
      <c r="B12" s="8" t="s">
        <v>74</v>
      </c>
      <c r="D12" s="8" t="s">
        <v>54</v>
      </c>
    </row>
    <row r="13" spans="1:4" x14ac:dyDescent="0.25">
      <c r="A13" s="8" t="s">
        <v>75</v>
      </c>
      <c r="B13" s="8" t="s">
        <v>76</v>
      </c>
      <c r="D13" s="8" t="s">
        <v>54</v>
      </c>
    </row>
    <row r="14" spans="1:4" x14ac:dyDescent="0.25">
      <c r="A14" s="8" t="s">
        <v>77</v>
      </c>
      <c r="B14" s="8" t="s">
        <v>78</v>
      </c>
      <c r="D14" s="8" t="s">
        <v>54</v>
      </c>
    </row>
    <row r="15" spans="1:4" x14ac:dyDescent="0.25">
      <c r="A15" s="8" t="s">
        <v>79</v>
      </c>
      <c r="B15" s="8" t="s">
        <v>80</v>
      </c>
      <c r="D15" s="8" t="s">
        <v>54</v>
      </c>
    </row>
    <row r="16" spans="1:4" x14ac:dyDescent="0.25">
      <c r="A16" s="8" t="s">
        <v>81</v>
      </c>
      <c r="B16" s="8" t="s">
        <v>82</v>
      </c>
      <c r="D16" s="8" t="s">
        <v>54</v>
      </c>
    </row>
    <row r="17" spans="1:4" x14ac:dyDescent="0.25">
      <c r="A17" s="8" t="s">
        <v>83</v>
      </c>
      <c r="B17" s="8" t="s">
        <v>84</v>
      </c>
      <c r="D17" s="8" t="s">
        <v>54</v>
      </c>
    </row>
    <row r="18" spans="1:4" x14ac:dyDescent="0.25">
      <c r="A18" s="8" t="s">
        <v>85</v>
      </c>
      <c r="B18" s="8" t="s">
        <v>86</v>
      </c>
      <c r="D18" s="8" t="s">
        <v>54</v>
      </c>
    </row>
    <row r="19" spans="1:4" x14ac:dyDescent="0.25">
      <c r="A19" s="8" t="s">
        <v>87</v>
      </c>
      <c r="B19" s="8" t="s">
        <v>88</v>
      </c>
      <c r="D19" s="8" t="s">
        <v>54</v>
      </c>
    </row>
    <row r="20" spans="1:4" x14ac:dyDescent="0.25">
      <c r="A20" s="8" t="s">
        <v>89</v>
      </c>
      <c r="B20" s="8" t="s">
        <v>90</v>
      </c>
      <c r="D20" s="8" t="s">
        <v>54</v>
      </c>
    </row>
    <row r="21" spans="1:4" x14ac:dyDescent="0.25">
      <c r="A21" s="8" t="s">
        <v>91</v>
      </c>
      <c r="B21" s="8" t="s">
        <v>92</v>
      </c>
      <c r="D21" s="8" t="s">
        <v>54</v>
      </c>
    </row>
    <row r="22" spans="1:4" ht="120" x14ac:dyDescent="0.25">
      <c r="A22" s="8" t="s">
        <v>93</v>
      </c>
      <c r="B22" s="8" t="s">
        <v>11</v>
      </c>
      <c r="C22" s="8" t="s">
        <v>94</v>
      </c>
      <c r="D22" s="8" t="s">
        <v>54</v>
      </c>
    </row>
    <row r="23" spans="1:4" x14ac:dyDescent="0.25">
      <c r="A23" s="8" t="s">
        <v>95</v>
      </c>
      <c r="B23" s="8" t="s">
        <v>96</v>
      </c>
      <c r="D23" s="8" t="s">
        <v>54</v>
      </c>
    </row>
    <row r="24" spans="1:4" x14ac:dyDescent="0.25">
      <c r="A24" s="8" t="s">
        <v>97</v>
      </c>
      <c r="B24" s="8" t="s">
        <v>98</v>
      </c>
      <c r="D24" s="8" t="s">
        <v>54</v>
      </c>
    </row>
    <row r="25" spans="1:4" x14ac:dyDescent="0.25">
      <c r="A25" s="8" t="s">
        <v>99</v>
      </c>
      <c r="B25" s="8" t="s">
        <v>100</v>
      </c>
      <c r="D25" s="8" t="s">
        <v>54</v>
      </c>
    </row>
    <row r="26" spans="1:4" x14ac:dyDescent="0.25">
      <c r="A26" s="8" t="s">
        <v>101</v>
      </c>
      <c r="B26" s="8" t="s">
        <v>102</v>
      </c>
      <c r="D26" s="8" t="s">
        <v>54</v>
      </c>
    </row>
    <row r="27" spans="1:4" x14ac:dyDescent="0.25">
      <c r="A27" s="8" t="s">
        <v>103</v>
      </c>
      <c r="B27" s="8" t="s">
        <v>104</v>
      </c>
      <c r="D27" s="8" t="s">
        <v>54</v>
      </c>
    </row>
    <row r="28" spans="1:4" x14ac:dyDescent="0.25">
      <c r="A28" s="8" t="s">
        <v>105</v>
      </c>
      <c r="B28" s="8" t="s">
        <v>106</v>
      </c>
      <c r="D28" s="8" t="s">
        <v>54</v>
      </c>
    </row>
    <row r="29" spans="1:4" x14ac:dyDescent="0.25">
      <c r="A29" s="8" t="s">
        <v>107</v>
      </c>
      <c r="B29" s="8" t="s">
        <v>108</v>
      </c>
      <c r="D29" s="8" t="s">
        <v>54</v>
      </c>
    </row>
    <row r="30" spans="1:4" x14ac:dyDescent="0.25">
      <c r="A30" s="8" t="s">
        <v>109</v>
      </c>
      <c r="B30" s="8" t="s">
        <v>110</v>
      </c>
      <c r="D30" s="8" t="s">
        <v>54</v>
      </c>
    </row>
    <row r="31" spans="1:4" x14ac:dyDescent="0.25">
      <c r="A31" s="8" t="s">
        <v>111</v>
      </c>
      <c r="B31" s="8" t="s">
        <v>112</v>
      </c>
      <c r="D31" s="8" t="s">
        <v>54</v>
      </c>
    </row>
    <row r="32" spans="1:4" x14ac:dyDescent="0.25">
      <c r="A32" s="8" t="s">
        <v>113</v>
      </c>
      <c r="B32" s="8" t="s">
        <v>114</v>
      </c>
      <c r="D32" s="8" t="s">
        <v>54</v>
      </c>
    </row>
    <row r="33" spans="1:4" x14ac:dyDescent="0.25">
      <c r="A33" s="8" t="s">
        <v>115</v>
      </c>
      <c r="B33" s="8" t="s">
        <v>116</v>
      </c>
      <c r="D33" s="8" t="s">
        <v>54</v>
      </c>
    </row>
    <row r="34" spans="1:4" x14ac:dyDescent="0.25">
      <c r="A34" s="8" t="s">
        <v>117</v>
      </c>
      <c r="B34" s="8" t="s">
        <v>118</v>
      </c>
      <c r="D34" s="8" t="s">
        <v>54</v>
      </c>
    </row>
    <row r="35" spans="1:4" x14ac:dyDescent="0.25">
      <c r="A35" s="8" t="s">
        <v>119</v>
      </c>
      <c r="B35" s="8" t="s">
        <v>120</v>
      </c>
      <c r="D35" s="8" t="s">
        <v>54</v>
      </c>
    </row>
    <row r="36" spans="1:4" x14ac:dyDescent="0.25">
      <c r="A36" s="8" t="s">
        <v>121</v>
      </c>
      <c r="B36" s="8" t="s">
        <v>122</v>
      </c>
      <c r="D36" s="8" t="s">
        <v>54</v>
      </c>
    </row>
    <row r="37" spans="1:4" x14ac:dyDescent="0.25">
      <c r="A37" s="8" t="s">
        <v>123</v>
      </c>
      <c r="B37" s="8" t="s">
        <v>124</v>
      </c>
      <c r="D37" s="8" t="s">
        <v>54</v>
      </c>
    </row>
    <row r="38" spans="1:4" x14ac:dyDescent="0.25">
      <c r="A38" s="8" t="s">
        <v>125</v>
      </c>
      <c r="B38" s="8" t="s">
        <v>126</v>
      </c>
      <c r="D38" s="8" t="s">
        <v>54</v>
      </c>
    </row>
    <row r="39" spans="1:4" x14ac:dyDescent="0.25">
      <c r="A39" s="8" t="s">
        <v>127</v>
      </c>
      <c r="B39" s="8" t="s">
        <v>128</v>
      </c>
      <c r="D39" s="8" t="s">
        <v>54</v>
      </c>
    </row>
    <row r="40" spans="1:4" x14ac:dyDescent="0.25">
      <c r="A40" s="8" t="s">
        <v>129</v>
      </c>
      <c r="B40" s="8" t="s">
        <v>130</v>
      </c>
      <c r="D40" s="8" t="s">
        <v>54</v>
      </c>
    </row>
    <row r="41" spans="1:4" x14ac:dyDescent="0.25">
      <c r="A41" s="8" t="s">
        <v>131</v>
      </c>
      <c r="B41" s="8" t="s">
        <v>132</v>
      </c>
      <c r="D41" s="8" t="s">
        <v>54</v>
      </c>
    </row>
    <row r="42" spans="1:4" x14ac:dyDescent="0.25">
      <c r="A42" s="8" t="s">
        <v>133</v>
      </c>
      <c r="B42" s="8" t="s">
        <v>134</v>
      </c>
      <c r="D42" s="8" t="s">
        <v>54</v>
      </c>
    </row>
    <row r="43" spans="1:4" x14ac:dyDescent="0.25">
      <c r="A43" s="8" t="s">
        <v>135</v>
      </c>
      <c r="B43" s="8" t="s">
        <v>136</v>
      </c>
      <c r="D43" s="8" t="s">
        <v>54</v>
      </c>
    </row>
    <row r="44" spans="1:4" x14ac:dyDescent="0.25">
      <c r="A44" s="8" t="s">
        <v>137</v>
      </c>
      <c r="B44" s="8" t="s">
        <v>138</v>
      </c>
      <c r="D44" s="8" t="s">
        <v>54</v>
      </c>
    </row>
    <row r="45" spans="1:4" x14ac:dyDescent="0.25">
      <c r="A45" s="8" t="s">
        <v>139</v>
      </c>
      <c r="B45" s="8" t="s">
        <v>140</v>
      </c>
      <c r="D45" s="8" t="s">
        <v>54</v>
      </c>
    </row>
    <row r="46" spans="1:4" x14ac:dyDescent="0.25">
      <c r="A46" s="8" t="s">
        <v>141</v>
      </c>
      <c r="B46" s="8" t="s">
        <v>142</v>
      </c>
      <c r="D46" s="8" t="s">
        <v>54</v>
      </c>
    </row>
    <row r="47" spans="1:4" x14ac:dyDescent="0.25">
      <c r="A47" s="8" t="s">
        <v>143</v>
      </c>
      <c r="B47" s="8" t="s">
        <v>144</v>
      </c>
      <c r="D47" s="8" t="s">
        <v>54</v>
      </c>
    </row>
    <row r="48" spans="1:4" x14ac:dyDescent="0.25">
      <c r="A48" s="8" t="s">
        <v>145</v>
      </c>
      <c r="B48" s="8" t="s">
        <v>146</v>
      </c>
      <c r="D48" s="8" t="s">
        <v>54</v>
      </c>
    </row>
    <row r="49" spans="1:4" x14ac:dyDescent="0.25">
      <c r="A49" s="8" t="s">
        <v>147</v>
      </c>
      <c r="B49" s="8" t="s">
        <v>148</v>
      </c>
      <c r="D49" s="8" t="s">
        <v>54</v>
      </c>
    </row>
    <row r="50" spans="1:4" x14ac:dyDescent="0.25">
      <c r="A50" s="8" t="s">
        <v>149</v>
      </c>
      <c r="B50" s="8" t="s">
        <v>150</v>
      </c>
      <c r="D50" s="8" t="s">
        <v>54</v>
      </c>
    </row>
    <row r="51" spans="1:4" x14ac:dyDescent="0.25">
      <c r="A51" s="8" t="s">
        <v>151</v>
      </c>
      <c r="B51" s="8" t="s">
        <v>152</v>
      </c>
      <c r="D51" s="8" t="s">
        <v>54</v>
      </c>
    </row>
    <row r="52" spans="1:4" x14ac:dyDescent="0.25">
      <c r="A52" s="8" t="s">
        <v>153</v>
      </c>
      <c r="B52" s="8" t="s">
        <v>154</v>
      </c>
      <c r="D52" s="8" t="s">
        <v>54</v>
      </c>
    </row>
    <row r="53" spans="1:4" x14ac:dyDescent="0.25">
      <c r="A53" s="8" t="s">
        <v>155</v>
      </c>
      <c r="B53" s="8" t="s">
        <v>156</v>
      </c>
      <c r="D53" s="8" t="s">
        <v>54</v>
      </c>
    </row>
    <row r="54" spans="1:4" x14ac:dyDescent="0.25">
      <c r="A54" s="8" t="s">
        <v>157</v>
      </c>
      <c r="B54" s="8" t="s">
        <v>158</v>
      </c>
      <c r="D54" s="8" t="s">
        <v>54</v>
      </c>
    </row>
    <row r="55" spans="1:4" x14ac:dyDescent="0.25">
      <c r="A55" s="8" t="s">
        <v>159</v>
      </c>
      <c r="B55" s="8" t="s">
        <v>160</v>
      </c>
      <c r="D55" s="8" t="s">
        <v>54</v>
      </c>
    </row>
    <row r="56" spans="1:4" x14ac:dyDescent="0.25">
      <c r="A56" s="8" t="s">
        <v>161</v>
      </c>
      <c r="B56" s="8" t="s">
        <v>162</v>
      </c>
      <c r="D56" s="8" t="s">
        <v>54</v>
      </c>
    </row>
    <row r="57" spans="1:4" x14ac:dyDescent="0.25">
      <c r="A57" s="8" t="s">
        <v>163</v>
      </c>
      <c r="B57" s="8" t="s">
        <v>164</v>
      </c>
      <c r="D57" s="8" t="s">
        <v>54</v>
      </c>
    </row>
    <row r="58" spans="1:4" x14ac:dyDescent="0.25">
      <c r="A58" s="8" t="s">
        <v>165</v>
      </c>
      <c r="B58" s="8" t="s">
        <v>166</v>
      </c>
      <c r="D58" s="8" t="s">
        <v>54</v>
      </c>
    </row>
    <row r="59" spans="1:4" x14ac:dyDescent="0.25">
      <c r="A59" s="8" t="s">
        <v>167</v>
      </c>
      <c r="B59" s="8" t="s">
        <v>168</v>
      </c>
      <c r="D59" s="8" t="s">
        <v>54</v>
      </c>
    </row>
    <row r="60" spans="1:4" x14ac:dyDescent="0.25">
      <c r="A60" s="8" t="s">
        <v>169</v>
      </c>
      <c r="B60" s="8" t="s">
        <v>170</v>
      </c>
      <c r="D60" s="8" t="s">
        <v>54</v>
      </c>
    </row>
    <row r="61" spans="1:4" x14ac:dyDescent="0.25">
      <c r="A61" s="8" t="s">
        <v>171</v>
      </c>
      <c r="B61" s="8" t="s">
        <v>172</v>
      </c>
      <c r="D61" s="8" t="s">
        <v>54</v>
      </c>
    </row>
    <row r="62" spans="1:4" x14ac:dyDescent="0.25">
      <c r="A62" s="8" t="s">
        <v>173</v>
      </c>
      <c r="B62" s="8" t="s">
        <v>174</v>
      </c>
      <c r="D62" s="8" t="s">
        <v>54</v>
      </c>
    </row>
    <row r="63" spans="1:4" x14ac:dyDescent="0.25">
      <c r="A63" s="8" t="s">
        <v>175</v>
      </c>
      <c r="B63" s="8" t="s">
        <v>176</v>
      </c>
      <c r="D63" s="8" t="s">
        <v>54</v>
      </c>
    </row>
    <row r="64" spans="1:4" x14ac:dyDescent="0.25">
      <c r="A64" s="8" t="s">
        <v>177</v>
      </c>
      <c r="B64" s="8" t="s">
        <v>178</v>
      </c>
      <c r="D64" s="8" t="s">
        <v>54</v>
      </c>
    </row>
    <row r="65" spans="1:4" x14ac:dyDescent="0.25">
      <c r="A65" s="8" t="s">
        <v>179</v>
      </c>
      <c r="B65" s="8" t="s">
        <v>180</v>
      </c>
      <c r="D65" s="8" t="s">
        <v>54</v>
      </c>
    </row>
    <row r="66" spans="1:4" x14ac:dyDescent="0.25">
      <c r="A66" s="8" t="s">
        <v>181</v>
      </c>
      <c r="B66" s="8" t="s">
        <v>182</v>
      </c>
      <c r="D66" s="8" t="s">
        <v>54</v>
      </c>
    </row>
    <row r="67" spans="1:4" x14ac:dyDescent="0.25">
      <c r="A67" s="8" t="s">
        <v>183</v>
      </c>
      <c r="B67" s="8" t="s">
        <v>184</v>
      </c>
      <c r="D67" s="8" t="s">
        <v>54</v>
      </c>
    </row>
    <row r="68" spans="1:4" x14ac:dyDescent="0.25">
      <c r="A68" s="8" t="s">
        <v>185</v>
      </c>
      <c r="B68" s="8" t="s">
        <v>186</v>
      </c>
      <c r="D68" s="8" t="s">
        <v>54</v>
      </c>
    </row>
    <row r="69" spans="1:4" x14ac:dyDescent="0.25">
      <c r="A69" s="8" t="s">
        <v>187</v>
      </c>
      <c r="B69" s="8" t="s">
        <v>188</v>
      </c>
      <c r="D69" s="8" t="s">
        <v>54</v>
      </c>
    </row>
    <row r="70" spans="1:4" x14ac:dyDescent="0.25">
      <c r="A70" s="8" t="s">
        <v>189</v>
      </c>
      <c r="B70" s="8" t="s">
        <v>190</v>
      </c>
      <c r="D70" s="8" t="s">
        <v>54</v>
      </c>
    </row>
    <row r="71" spans="1:4" x14ac:dyDescent="0.25">
      <c r="A71" s="8" t="s">
        <v>191</v>
      </c>
      <c r="B71" s="8" t="s">
        <v>192</v>
      </c>
      <c r="D71" s="8" t="s">
        <v>54</v>
      </c>
    </row>
    <row r="72" spans="1:4" x14ac:dyDescent="0.25">
      <c r="A72" s="8" t="s">
        <v>193</v>
      </c>
      <c r="B72" s="8" t="s">
        <v>194</v>
      </c>
      <c r="D72" s="8" t="s">
        <v>54</v>
      </c>
    </row>
    <row r="73" spans="1:4" x14ac:dyDescent="0.25">
      <c r="A73" s="8" t="s">
        <v>195</v>
      </c>
      <c r="B73" s="8" t="s">
        <v>196</v>
      </c>
      <c r="D73" s="8" t="s">
        <v>54</v>
      </c>
    </row>
    <row r="74" spans="1:4" x14ac:dyDescent="0.25">
      <c r="A74" s="8" t="s">
        <v>197</v>
      </c>
      <c r="B74" s="8" t="s">
        <v>198</v>
      </c>
      <c r="D74" s="8" t="s">
        <v>54</v>
      </c>
    </row>
    <row r="75" spans="1:4" x14ac:dyDescent="0.25">
      <c r="A75" s="8" t="s">
        <v>199</v>
      </c>
      <c r="B75" s="8" t="s">
        <v>200</v>
      </c>
      <c r="D75" s="8" t="s">
        <v>54</v>
      </c>
    </row>
    <row r="76" spans="1:4" x14ac:dyDescent="0.25">
      <c r="A76" s="8" t="s">
        <v>201</v>
      </c>
      <c r="B76" s="8" t="s">
        <v>202</v>
      </c>
      <c r="D76" s="8" t="s">
        <v>54</v>
      </c>
    </row>
    <row r="77" spans="1:4" x14ac:dyDescent="0.25">
      <c r="A77" s="8" t="s">
        <v>203</v>
      </c>
      <c r="B77" s="8" t="s">
        <v>204</v>
      </c>
      <c r="D77" s="8" t="s">
        <v>54</v>
      </c>
    </row>
    <row r="78" spans="1:4" x14ac:dyDescent="0.25">
      <c r="A78" s="8" t="s">
        <v>205</v>
      </c>
      <c r="B78" s="8" t="s">
        <v>206</v>
      </c>
      <c r="D78" s="8" t="s">
        <v>54</v>
      </c>
    </row>
    <row r="79" spans="1:4" x14ac:dyDescent="0.25">
      <c r="A79" s="8" t="s">
        <v>207</v>
      </c>
      <c r="B79" s="8" t="s">
        <v>208</v>
      </c>
      <c r="D79" s="8" t="s">
        <v>54</v>
      </c>
    </row>
    <row r="80" spans="1:4" x14ac:dyDescent="0.25">
      <c r="A80" s="8" t="s">
        <v>209</v>
      </c>
      <c r="B80" s="8" t="s">
        <v>210</v>
      </c>
      <c r="D80" s="8" t="s">
        <v>54</v>
      </c>
    </row>
    <row r="81" spans="1:4" x14ac:dyDescent="0.25">
      <c r="A81" s="8" t="s">
        <v>211</v>
      </c>
      <c r="B81" s="8" t="s">
        <v>212</v>
      </c>
      <c r="D81" s="8" t="s">
        <v>54</v>
      </c>
    </row>
    <row r="82" spans="1:4" ht="60" x14ac:dyDescent="0.25">
      <c r="A82" s="8" t="s">
        <v>213</v>
      </c>
      <c r="B82" s="8" t="s">
        <v>12</v>
      </c>
      <c r="C82" s="8" t="s">
        <v>214</v>
      </c>
      <c r="D82" s="8" t="s">
        <v>54</v>
      </c>
    </row>
    <row r="83" spans="1:4" x14ac:dyDescent="0.25">
      <c r="A83" s="8" t="s">
        <v>215</v>
      </c>
      <c r="B83" s="8" t="s">
        <v>216</v>
      </c>
      <c r="D83" s="8" t="s">
        <v>54</v>
      </c>
    </row>
    <row r="84" spans="1:4" x14ac:dyDescent="0.25">
      <c r="A84" s="8" t="s">
        <v>217</v>
      </c>
      <c r="B84" s="8" t="s">
        <v>218</v>
      </c>
      <c r="D84" s="8" t="s">
        <v>54</v>
      </c>
    </row>
    <row r="85" spans="1:4" x14ac:dyDescent="0.25">
      <c r="A85" s="8" t="s">
        <v>219</v>
      </c>
      <c r="B85" s="8" t="s">
        <v>220</v>
      </c>
      <c r="D85" s="8" t="s">
        <v>54</v>
      </c>
    </row>
    <row r="86" spans="1:4" x14ac:dyDescent="0.25">
      <c r="A86" s="8" t="s">
        <v>221</v>
      </c>
      <c r="B86" s="8" t="s">
        <v>222</v>
      </c>
      <c r="D86" s="8" t="s">
        <v>54</v>
      </c>
    </row>
    <row r="87" spans="1:4" x14ac:dyDescent="0.25">
      <c r="A87" s="8" t="s">
        <v>223</v>
      </c>
      <c r="B87" s="8" t="s">
        <v>224</v>
      </c>
      <c r="D87" s="8" t="s">
        <v>54</v>
      </c>
    </row>
    <row r="88" spans="1:4" ht="30" x14ac:dyDescent="0.25">
      <c r="A88" s="8" t="s">
        <v>225</v>
      </c>
      <c r="B88" s="8" t="s">
        <v>226</v>
      </c>
      <c r="D88" s="8" t="s">
        <v>54</v>
      </c>
    </row>
    <row r="89" spans="1:4" ht="30" x14ac:dyDescent="0.25">
      <c r="A89" s="8" t="s">
        <v>227</v>
      </c>
      <c r="B89" s="8" t="s">
        <v>228</v>
      </c>
      <c r="D89" s="8" t="s">
        <v>54</v>
      </c>
    </row>
    <row r="90" spans="1:4" ht="30" x14ac:dyDescent="0.25">
      <c r="A90" s="8" t="s">
        <v>229</v>
      </c>
      <c r="B90" s="8" t="s">
        <v>230</v>
      </c>
      <c r="D90" s="8" t="s">
        <v>54</v>
      </c>
    </row>
    <row r="91" spans="1:4" ht="30" x14ac:dyDescent="0.25">
      <c r="A91" s="8" t="s">
        <v>231</v>
      </c>
      <c r="B91" s="8" t="s">
        <v>232</v>
      </c>
      <c r="D91" s="8" t="s">
        <v>54</v>
      </c>
    </row>
    <row r="92" spans="1:4" x14ac:dyDescent="0.25">
      <c r="A92" s="8" t="s">
        <v>233</v>
      </c>
      <c r="B92" s="8" t="s">
        <v>234</v>
      </c>
      <c r="D92" s="8" t="s">
        <v>54</v>
      </c>
    </row>
    <row r="93" spans="1:4" x14ac:dyDescent="0.25">
      <c r="A93" s="8" t="s">
        <v>235</v>
      </c>
      <c r="B93" s="8" t="s">
        <v>236</v>
      </c>
      <c r="D93" s="8" t="s">
        <v>54</v>
      </c>
    </row>
    <row r="94" spans="1:4" x14ac:dyDescent="0.25">
      <c r="A94" s="8" t="s">
        <v>237</v>
      </c>
      <c r="B94" s="8" t="s">
        <v>238</v>
      </c>
      <c r="D94" s="8" t="s">
        <v>54</v>
      </c>
    </row>
    <row r="95" spans="1:4" x14ac:dyDescent="0.25">
      <c r="A95" s="8" t="s">
        <v>239</v>
      </c>
      <c r="B95" s="8" t="s">
        <v>240</v>
      </c>
      <c r="D95" s="8" t="s">
        <v>54</v>
      </c>
    </row>
    <row r="96" spans="1:4" x14ac:dyDescent="0.25">
      <c r="A96" s="8" t="s">
        <v>241</v>
      </c>
      <c r="B96" s="8" t="s">
        <v>242</v>
      </c>
      <c r="D96" s="8" t="s">
        <v>54</v>
      </c>
    </row>
    <row r="97" spans="1:4" x14ac:dyDescent="0.25">
      <c r="A97" s="8" t="s">
        <v>243</v>
      </c>
      <c r="B97" s="8" t="s">
        <v>244</v>
      </c>
      <c r="D97" s="8" t="s">
        <v>54</v>
      </c>
    </row>
    <row r="98" spans="1:4" x14ac:dyDescent="0.25">
      <c r="A98" s="8" t="s">
        <v>245</v>
      </c>
      <c r="B98" s="8" t="s">
        <v>246</v>
      </c>
      <c r="D98" s="8" t="s">
        <v>54</v>
      </c>
    </row>
    <row r="99" spans="1:4" ht="30" x14ac:dyDescent="0.25">
      <c r="A99" s="8" t="s">
        <v>247</v>
      </c>
      <c r="B99" s="8" t="s">
        <v>248</v>
      </c>
      <c r="D99" s="8" t="s">
        <v>54</v>
      </c>
    </row>
    <row r="100" spans="1:4" ht="30" x14ac:dyDescent="0.25">
      <c r="A100" s="8" t="s">
        <v>249</v>
      </c>
      <c r="B100" s="8" t="s">
        <v>250</v>
      </c>
      <c r="D100" s="8" t="s">
        <v>54</v>
      </c>
    </row>
    <row r="101" spans="1:4" ht="30" x14ac:dyDescent="0.25">
      <c r="A101" s="8" t="s">
        <v>251</v>
      </c>
      <c r="B101" s="8" t="s">
        <v>252</v>
      </c>
      <c r="D101" s="8" t="s">
        <v>54</v>
      </c>
    </row>
    <row r="102" spans="1:4" ht="30" x14ac:dyDescent="0.25">
      <c r="A102" s="8" t="s">
        <v>253</v>
      </c>
      <c r="B102" s="8" t="s">
        <v>254</v>
      </c>
      <c r="D102" s="8" t="s">
        <v>54</v>
      </c>
    </row>
    <row r="103" spans="1:4" ht="30" x14ac:dyDescent="0.25">
      <c r="A103" s="8" t="s">
        <v>255</v>
      </c>
      <c r="B103" s="8" t="s">
        <v>256</v>
      </c>
      <c r="D103" s="8" t="s">
        <v>54</v>
      </c>
    </row>
    <row r="104" spans="1:4" ht="30" x14ac:dyDescent="0.25">
      <c r="A104" s="8" t="s">
        <v>257</v>
      </c>
      <c r="B104" s="8" t="s">
        <v>258</v>
      </c>
      <c r="D104" s="8" t="s">
        <v>54</v>
      </c>
    </row>
    <row r="105" spans="1:4" ht="30" x14ac:dyDescent="0.25">
      <c r="A105" s="8" t="s">
        <v>259</v>
      </c>
      <c r="B105" s="8" t="s">
        <v>260</v>
      </c>
      <c r="D105" s="8" t="s">
        <v>54</v>
      </c>
    </row>
    <row r="106" spans="1:4" x14ac:dyDescent="0.25">
      <c r="A106" s="8" t="s">
        <v>261</v>
      </c>
      <c r="B106" s="8" t="s">
        <v>262</v>
      </c>
      <c r="D106" s="8" t="s">
        <v>54</v>
      </c>
    </row>
    <row r="107" spans="1:4" ht="30" x14ac:dyDescent="0.25">
      <c r="A107" s="8" t="s">
        <v>263</v>
      </c>
      <c r="B107" s="8" t="s">
        <v>264</v>
      </c>
      <c r="D107" s="8" t="s">
        <v>54</v>
      </c>
    </row>
    <row r="108" spans="1:4" x14ac:dyDescent="0.25">
      <c r="A108" s="8" t="s">
        <v>265</v>
      </c>
      <c r="B108" s="8" t="s">
        <v>266</v>
      </c>
      <c r="D108" s="8" t="s">
        <v>54</v>
      </c>
    </row>
    <row r="109" spans="1:4" ht="45" x14ac:dyDescent="0.25">
      <c r="A109" s="8" t="s">
        <v>267</v>
      </c>
      <c r="B109" s="8" t="s">
        <v>13</v>
      </c>
      <c r="C109" s="8" t="s">
        <v>268</v>
      </c>
      <c r="D109" s="8" t="s">
        <v>54</v>
      </c>
    </row>
    <row r="110" spans="1:4" ht="30" x14ac:dyDescent="0.25">
      <c r="A110" s="8" t="s">
        <v>269</v>
      </c>
      <c r="B110" s="8" t="s">
        <v>270</v>
      </c>
      <c r="C110" s="8" t="s">
        <v>271</v>
      </c>
      <c r="D110" s="8" t="s">
        <v>54</v>
      </c>
    </row>
    <row r="111" spans="1:4" x14ac:dyDescent="0.25">
      <c r="A111" s="8" t="s">
        <v>272</v>
      </c>
      <c r="B111" s="8" t="s">
        <v>273</v>
      </c>
      <c r="D111" s="8" t="s">
        <v>54</v>
      </c>
    </row>
    <row r="112" spans="1:4" x14ac:dyDescent="0.25">
      <c r="A112" s="8" t="s">
        <v>274</v>
      </c>
      <c r="B112" s="8" t="s">
        <v>275</v>
      </c>
      <c r="D112" s="8" t="s">
        <v>54</v>
      </c>
    </row>
    <row r="113" spans="1:4" x14ac:dyDescent="0.25">
      <c r="A113" s="8" t="s">
        <v>276</v>
      </c>
      <c r="B113" s="8" t="s">
        <v>277</v>
      </c>
      <c r="D113" s="8" t="s">
        <v>54</v>
      </c>
    </row>
    <row r="114" spans="1:4" x14ac:dyDescent="0.25">
      <c r="A114" s="8" t="s">
        <v>278</v>
      </c>
      <c r="B114" s="8" t="s">
        <v>279</v>
      </c>
      <c r="D114" s="8" t="s">
        <v>54</v>
      </c>
    </row>
    <row r="115" spans="1:4" x14ac:dyDescent="0.25">
      <c r="A115" s="8" t="s">
        <v>280</v>
      </c>
      <c r="B115" s="8" t="s">
        <v>281</v>
      </c>
      <c r="D115" s="8" t="s">
        <v>54</v>
      </c>
    </row>
    <row r="116" spans="1:4" x14ac:dyDescent="0.25">
      <c r="A116" s="8" t="s">
        <v>282</v>
      </c>
      <c r="B116" s="8" t="s">
        <v>283</v>
      </c>
      <c r="D116" s="8" t="s">
        <v>54</v>
      </c>
    </row>
    <row r="117" spans="1:4" x14ac:dyDescent="0.25">
      <c r="A117" s="8" t="s">
        <v>284</v>
      </c>
      <c r="B117" s="8" t="s">
        <v>285</v>
      </c>
      <c r="D117" s="8" t="s">
        <v>54</v>
      </c>
    </row>
    <row r="118" spans="1:4" x14ac:dyDescent="0.25">
      <c r="A118" s="8" t="s">
        <v>286</v>
      </c>
      <c r="B118" s="8" t="s">
        <v>287</v>
      </c>
      <c r="D118" s="8" t="s">
        <v>54</v>
      </c>
    </row>
    <row r="119" spans="1:4" x14ac:dyDescent="0.25">
      <c r="A119" s="8" t="s">
        <v>288</v>
      </c>
      <c r="B119" s="8" t="s">
        <v>289</v>
      </c>
      <c r="D119" s="8" t="s">
        <v>54</v>
      </c>
    </row>
    <row r="120" spans="1:4" x14ac:dyDescent="0.25">
      <c r="A120" s="8" t="s">
        <v>290</v>
      </c>
      <c r="B120" s="8" t="s">
        <v>291</v>
      </c>
      <c r="C120" s="8" t="s">
        <v>292</v>
      </c>
      <c r="D120" s="8" t="s">
        <v>54</v>
      </c>
    </row>
    <row r="121" spans="1:4" x14ac:dyDescent="0.25">
      <c r="A121" s="8" t="s">
        <v>293</v>
      </c>
      <c r="B121" s="8" t="s">
        <v>294</v>
      </c>
      <c r="D121" s="8" t="s">
        <v>54</v>
      </c>
    </row>
    <row r="122" spans="1:4" x14ac:dyDescent="0.25">
      <c r="A122" s="8" t="s">
        <v>295</v>
      </c>
      <c r="B122" s="8" t="s">
        <v>296</v>
      </c>
      <c r="D122" s="8" t="s">
        <v>54</v>
      </c>
    </row>
    <row r="123" spans="1:4" ht="60" x14ac:dyDescent="0.25">
      <c r="A123" s="8" t="s">
        <v>297</v>
      </c>
      <c r="B123" s="8" t="s">
        <v>298</v>
      </c>
      <c r="C123" s="8" t="s">
        <v>299</v>
      </c>
      <c r="D123" s="8" t="s">
        <v>54</v>
      </c>
    </row>
    <row r="124" spans="1:4" x14ac:dyDescent="0.25">
      <c r="A124" s="8" t="s">
        <v>300</v>
      </c>
      <c r="B124" s="8" t="s">
        <v>301</v>
      </c>
      <c r="D124" s="8" t="s">
        <v>54</v>
      </c>
    </row>
    <row r="125" spans="1:4" x14ac:dyDescent="0.25">
      <c r="A125" s="8" t="s">
        <v>302</v>
      </c>
      <c r="B125" s="8" t="s">
        <v>303</v>
      </c>
      <c r="D125" s="8" t="s">
        <v>54</v>
      </c>
    </row>
    <row r="126" spans="1:4" x14ac:dyDescent="0.25">
      <c r="A126" s="8" t="s">
        <v>304</v>
      </c>
      <c r="B126" s="8" t="s">
        <v>305</v>
      </c>
      <c r="D126" s="8" t="s">
        <v>54</v>
      </c>
    </row>
    <row r="127" spans="1:4" x14ac:dyDescent="0.25">
      <c r="A127" s="8" t="s">
        <v>306</v>
      </c>
      <c r="B127" s="8" t="s">
        <v>307</v>
      </c>
      <c r="D127" s="8" t="s">
        <v>54</v>
      </c>
    </row>
    <row r="128" spans="1:4" x14ac:dyDescent="0.25">
      <c r="A128" s="8" t="s">
        <v>308</v>
      </c>
      <c r="B128" s="8" t="s">
        <v>309</v>
      </c>
      <c r="D128" s="8" t="s">
        <v>54</v>
      </c>
    </row>
    <row r="129" spans="1:4" x14ac:dyDescent="0.25">
      <c r="A129" s="8" t="s">
        <v>310</v>
      </c>
      <c r="B129" s="8" t="s">
        <v>311</v>
      </c>
      <c r="D129" s="8" t="s">
        <v>54</v>
      </c>
    </row>
    <row r="130" spans="1:4" x14ac:dyDescent="0.25">
      <c r="A130" s="8" t="s">
        <v>312</v>
      </c>
      <c r="B130" s="8" t="s">
        <v>313</v>
      </c>
      <c r="D130" s="8" t="s">
        <v>54</v>
      </c>
    </row>
    <row r="131" spans="1:4" x14ac:dyDescent="0.25">
      <c r="A131" s="8" t="s">
        <v>314</v>
      </c>
      <c r="B131" s="8" t="s">
        <v>315</v>
      </c>
      <c r="D131" s="8" t="s">
        <v>54</v>
      </c>
    </row>
    <row r="132" spans="1:4" x14ac:dyDescent="0.25">
      <c r="A132" s="8" t="s">
        <v>316</v>
      </c>
      <c r="B132" s="8" t="s">
        <v>317</v>
      </c>
      <c r="D132" s="8" t="s">
        <v>54</v>
      </c>
    </row>
    <row r="133" spans="1:4" x14ac:dyDescent="0.25">
      <c r="A133" s="8" t="s">
        <v>318</v>
      </c>
      <c r="B133" s="8" t="s">
        <v>319</v>
      </c>
      <c r="D133" s="8" t="s">
        <v>54</v>
      </c>
    </row>
    <row r="134" spans="1:4" x14ac:dyDescent="0.25">
      <c r="A134" s="8" t="s">
        <v>320</v>
      </c>
      <c r="B134" s="8" t="s">
        <v>321</v>
      </c>
      <c r="D134" s="8" t="s">
        <v>54</v>
      </c>
    </row>
    <row r="135" spans="1:4" x14ac:dyDescent="0.25">
      <c r="A135" s="8" t="s">
        <v>322</v>
      </c>
      <c r="B135" s="8" t="s">
        <v>323</v>
      </c>
      <c r="D135" s="8" t="s">
        <v>54</v>
      </c>
    </row>
    <row r="136" spans="1:4" x14ac:dyDescent="0.25">
      <c r="A136" s="8" t="s">
        <v>324</v>
      </c>
      <c r="B136" s="8" t="s">
        <v>325</v>
      </c>
      <c r="D136" s="8" t="s">
        <v>54</v>
      </c>
    </row>
    <row r="137" spans="1:4" x14ac:dyDescent="0.25">
      <c r="A137" s="8" t="s">
        <v>326</v>
      </c>
      <c r="B137" s="8" t="s">
        <v>327</v>
      </c>
      <c r="D137" s="8" t="s">
        <v>54</v>
      </c>
    </row>
    <row r="138" spans="1:4" x14ac:dyDescent="0.25">
      <c r="A138" s="8" t="s">
        <v>328</v>
      </c>
      <c r="B138" s="8" t="s">
        <v>329</v>
      </c>
      <c r="D138" s="8" t="s">
        <v>54</v>
      </c>
    </row>
    <row r="139" spans="1:4" x14ac:dyDescent="0.25">
      <c r="A139" s="8" t="s">
        <v>330</v>
      </c>
      <c r="B139" s="8" t="s">
        <v>331</v>
      </c>
      <c r="D139" s="8" t="s">
        <v>54</v>
      </c>
    </row>
    <row r="140" spans="1:4" x14ac:dyDescent="0.25">
      <c r="A140" s="8" t="s">
        <v>332</v>
      </c>
      <c r="B140" s="8" t="s">
        <v>333</v>
      </c>
      <c r="D140" s="8" t="s">
        <v>54</v>
      </c>
    </row>
    <row r="141" spans="1:4" x14ac:dyDescent="0.25">
      <c r="A141" s="8" t="s">
        <v>334</v>
      </c>
      <c r="B141" s="8" t="s">
        <v>335</v>
      </c>
      <c r="D141" s="8" t="s">
        <v>54</v>
      </c>
    </row>
    <row r="142" spans="1:4" x14ac:dyDescent="0.25">
      <c r="A142" s="8" t="s">
        <v>336</v>
      </c>
      <c r="B142" s="8" t="s">
        <v>337</v>
      </c>
      <c r="C142" s="8" t="s">
        <v>338</v>
      </c>
      <c r="D142" s="8" t="s">
        <v>54</v>
      </c>
    </row>
    <row r="143" spans="1:4" x14ac:dyDescent="0.25">
      <c r="A143" s="8" t="s">
        <v>293</v>
      </c>
      <c r="B143" s="8" t="s">
        <v>294</v>
      </c>
      <c r="D143" s="8" t="s">
        <v>54</v>
      </c>
    </row>
    <row r="144" spans="1:4" x14ac:dyDescent="0.25">
      <c r="A144" s="8" t="s">
        <v>295</v>
      </c>
      <c r="B144" s="8" t="s">
        <v>296</v>
      </c>
      <c r="D144" s="8" t="s">
        <v>54</v>
      </c>
    </row>
    <row r="145" spans="1:4" x14ac:dyDescent="0.25">
      <c r="A145" s="8" t="s">
        <v>265</v>
      </c>
      <c r="B145" s="8" t="s">
        <v>266</v>
      </c>
      <c r="D145" s="8" t="s">
        <v>54</v>
      </c>
    </row>
    <row r="146" spans="1:4" ht="75" x14ac:dyDescent="0.25">
      <c r="A146" s="8" t="s">
        <v>339</v>
      </c>
      <c r="B146" s="8" t="s">
        <v>340</v>
      </c>
      <c r="C146" s="8" t="s">
        <v>341</v>
      </c>
      <c r="D146" s="8" t="s">
        <v>54</v>
      </c>
    </row>
    <row r="147" spans="1:4" x14ac:dyDescent="0.25">
      <c r="A147" s="8" t="s">
        <v>293</v>
      </c>
      <c r="B147" s="8" t="s">
        <v>294</v>
      </c>
      <c r="D147" s="8" t="s">
        <v>54</v>
      </c>
    </row>
    <row r="148" spans="1:4" x14ac:dyDescent="0.25">
      <c r="A148" s="8" t="s">
        <v>300</v>
      </c>
      <c r="B148" s="8" t="s">
        <v>301</v>
      </c>
      <c r="D148" s="8" t="s">
        <v>54</v>
      </c>
    </row>
    <row r="149" spans="1:4" x14ac:dyDescent="0.25">
      <c r="A149" s="8" t="s">
        <v>302</v>
      </c>
      <c r="B149" s="8" t="s">
        <v>303</v>
      </c>
      <c r="D149" s="8" t="s">
        <v>54</v>
      </c>
    </row>
    <row r="150" spans="1:4" x14ac:dyDescent="0.25">
      <c r="A150" s="8" t="s">
        <v>304</v>
      </c>
      <c r="B150" s="8" t="s">
        <v>305</v>
      </c>
      <c r="D150" s="8" t="s">
        <v>54</v>
      </c>
    </row>
    <row r="151" spans="1:4" x14ac:dyDescent="0.25">
      <c r="A151" s="8" t="s">
        <v>306</v>
      </c>
      <c r="B151" s="8" t="s">
        <v>307</v>
      </c>
      <c r="D151" s="8" t="s">
        <v>54</v>
      </c>
    </row>
    <row r="152" spans="1:4" x14ac:dyDescent="0.25">
      <c r="A152" s="8" t="s">
        <v>308</v>
      </c>
      <c r="B152" s="8" t="s">
        <v>309</v>
      </c>
      <c r="D152" s="8" t="s">
        <v>54</v>
      </c>
    </row>
    <row r="153" spans="1:4" x14ac:dyDescent="0.25">
      <c r="A153" s="8" t="s">
        <v>310</v>
      </c>
      <c r="B153" s="8" t="s">
        <v>311</v>
      </c>
      <c r="D153" s="8" t="s">
        <v>54</v>
      </c>
    </row>
    <row r="154" spans="1:4" x14ac:dyDescent="0.25">
      <c r="A154" s="8" t="s">
        <v>312</v>
      </c>
      <c r="B154" s="8" t="s">
        <v>313</v>
      </c>
      <c r="D154" s="8" t="s">
        <v>54</v>
      </c>
    </row>
    <row r="155" spans="1:4" x14ac:dyDescent="0.25">
      <c r="A155" s="8" t="s">
        <v>314</v>
      </c>
      <c r="B155" s="8" t="s">
        <v>315</v>
      </c>
      <c r="D155" s="8" t="s">
        <v>54</v>
      </c>
    </row>
    <row r="156" spans="1:4" x14ac:dyDescent="0.25">
      <c r="A156" s="8" t="s">
        <v>316</v>
      </c>
      <c r="B156" s="8" t="s">
        <v>317</v>
      </c>
      <c r="D156" s="8" t="s">
        <v>54</v>
      </c>
    </row>
    <row r="157" spans="1:4" x14ac:dyDescent="0.25">
      <c r="A157" s="8" t="s">
        <v>318</v>
      </c>
      <c r="B157" s="8" t="s">
        <v>319</v>
      </c>
      <c r="D157" s="8" t="s">
        <v>54</v>
      </c>
    </row>
    <row r="158" spans="1:4" x14ac:dyDescent="0.25">
      <c r="A158" s="8" t="s">
        <v>320</v>
      </c>
      <c r="B158" s="8" t="s">
        <v>321</v>
      </c>
      <c r="D158" s="8" t="s">
        <v>54</v>
      </c>
    </row>
    <row r="159" spans="1:4" x14ac:dyDescent="0.25">
      <c r="A159" s="8" t="s">
        <v>322</v>
      </c>
      <c r="B159" s="8" t="s">
        <v>323</v>
      </c>
      <c r="D159" s="8" t="s">
        <v>54</v>
      </c>
    </row>
    <row r="160" spans="1:4" x14ac:dyDescent="0.25">
      <c r="A160" s="8" t="s">
        <v>324</v>
      </c>
      <c r="B160" s="8" t="s">
        <v>325</v>
      </c>
      <c r="D160" s="8" t="s">
        <v>54</v>
      </c>
    </row>
    <row r="161" spans="1:4" x14ac:dyDescent="0.25">
      <c r="A161" s="8" t="s">
        <v>326</v>
      </c>
      <c r="B161" s="8" t="s">
        <v>327</v>
      </c>
      <c r="D161" s="8" t="s">
        <v>54</v>
      </c>
    </row>
    <row r="162" spans="1:4" x14ac:dyDescent="0.25">
      <c r="A162" s="8" t="s">
        <v>328</v>
      </c>
      <c r="B162" s="8" t="s">
        <v>329</v>
      </c>
      <c r="D162" s="8" t="s">
        <v>54</v>
      </c>
    </row>
    <row r="163" spans="1:4" x14ac:dyDescent="0.25">
      <c r="A163" s="8" t="s">
        <v>330</v>
      </c>
      <c r="B163" s="8" t="s">
        <v>331</v>
      </c>
      <c r="D163" s="8" t="s">
        <v>54</v>
      </c>
    </row>
    <row r="164" spans="1:4" x14ac:dyDescent="0.25">
      <c r="A164" s="8" t="s">
        <v>332</v>
      </c>
      <c r="B164" s="8" t="s">
        <v>333</v>
      </c>
      <c r="D164" s="8" t="s">
        <v>54</v>
      </c>
    </row>
    <row r="165" spans="1:4" x14ac:dyDescent="0.25">
      <c r="A165" s="8" t="s">
        <v>334</v>
      </c>
      <c r="B165" s="8" t="s">
        <v>335</v>
      </c>
      <c r="D165" s="8" t="s">
        <v>54</v>
      </c>
    </row>
    <row r="166" spans="1:4" x14ac:dyDescent="0.25">
      <c r="A166" s="8" t="s">
        <v>295</v>
      </c>
      <c r="B166" s="8" t="s">
        <v>296</v>
      </c>
      <c r="D166" s="8" t="s">
        <v>54</v>
      </c>
    </row>
    <row r="167" spans="1:4" x14ac:dyDescent="0.25">
      <c r="A167" s="8" t="s">
        <v>342</v>
      </c>
      <c r="B167" s="8" t="s">
        <v>343</v>
      </c>
      <c r="D167" s="8" t="s">
        <v>54</v>
      </c>
    </row>
    <row r="168" spans="1:4" x14ac:dyDescent="0.25">
      <c r="A168" s="8" t="s">
        <v>344</v>
      </c>
      <c r="B168" s="8" t="s">
        <v>345</v>
      </c>
      <c r="D168" s="8" t="s">
        <v>54</v>
      </c>
    </row>
    <row r="169" spans="1:4" x14ac:dyDescent="0.25">
      <c r="A169" s="8" t="s">
        <v>346</v>
      </c>
      <c r="B169" s="8" t="s">
        <v>347</v>
      </c>
      <c r="D169" s="8" t="s">
        <v>54</v>
      </c>
    </row>
    <row r="170" spans="1:4" x14ac:dyDescent="0.25">
      <c r="A170" s="8" t="s">
        <v>348</v>
      </c>
      <c r="B170" s="8" t="s">
        <v>349</v>
      </c>
      <c r="D170" s="8" t="s">
        <v>54</v>
      </c>
    </row>
    <row r="171" spans="1:4" x14ac:dyDescent="0.25">
      <c r="A171" s="8" t="s">
        <v>350</v>
      </c>
      <c r="B171" s="8" t="s">
        <v>351</v>
      </c>
      <c r="D171" s="8" t="s">
        <v>54</v>
      </c>
    </row>
    <row r="172" spans="1:4" x14ac:dyDescent="0.25">
      <c r="A172" s="8" t="s">
        <v>352</v>
      </c>
      <c r="B172" s="8" t="s">
        <v>353</v>
      </c>
      <c r="D172" s="8" t="s">
        <v>54</v>
      </c>
    </row>
    <row r="173" spans="1:4" x14ac:dyDescent="0.25">
      <c r="A173" s="8" t="s">
        <v>354</v>
      </c>
      <c r="B173" s="8" t="s">
        <v>355</v>
      </c>
      <c r="D173" s="8" t="s">
        <v>54</v>
      </c>
    </row>
    <row r="174" spans="1:4" x14ac:dyDescent="0.25">
      <c r="A174" s="8" t="s">
        <v>356</v>
      </c>
      <c r="B174" s="8" t="s">
        <v>357</v>
      </c>
      <c r="D174" s="8" t="s">
        <v>54</v>
      </c>
    </row>
    <row r="175" spans="1:4" x14ac:dyDescent="0.25">
      <c r="A175" s="8" t="s">
        <v>358</v>
      </c>
      <c r="B175" s="8" t="s">
        <v>359</v>
      </c>
      <c r="D175" s="8" t="s">
        <v>54</v>
      </c>
    </row>
    <row r="176" spans="1:4" x14ac:dyDescent="0.25">
      <c r="A176" s="8" t="s">
        <v>360</v>
      </c>
      <c r="B176" s="8" t="s">
        <v>361</v>
      </c>
      <c r="D176" s="8" t="s">
        <v>54</v>
      </c>
    </row>
    <row r="177" spans="1:4" ht="90" x14ac:dyDescent="0.25">
      <c r="A177" s="8" t="s">
        <v>362</v>
      </c>
      <c r="B177" s="8" t="s">
        <v>14</v>
      </c>
      <c r="C177" s="8" t="s">
        <v>363</v>
      </c>
      <c r="D177" s="8" t="s">
        <v>54</v>
      </c>
    </row>
    <row r="178" spans="1:4" x14ac:dyDescent="0.25">
      <c r="A178" s="8" t="s">
        <v>364</v>
      </c>
      <c r="B178" s="8" t="s">
        <v>365</v>
      </c>
      <c r="D178" s="8" t="s">
        <v>54</v>
      </c>
    </row>
    <row r="179" spans="1:4" x14ac:dyDescent="0.25">
      <c r="A179" s="8" t="s">
        <v>276</v>
      </c>
      <c r="B179" s="8" t="s">
        <v>277</v>
      </c>
      <c r="D179" s="8" t="s">
        <v>54</v>
      </c>
    </row>
    <row r="180" spans="1:4" x14ac:dyDescent="0.25">
      <c r="A180" s="8" t="s">
        <v>278</v>
      </c>
      <c r="B180" s="8" t="s">
        <v>279</v>
      </c>
      <c r="D180" s="8" t="s">
        <v>54</v>
      </c>
    </row>
    <row r="181" spans="1:4" x14ac:dyDescent="0.25">
      <c r="A181" s="8" t="s">
        <v>366</v>
      </c>
      <c r="B181" s="8" t="s">
        <v>36</v>
      </c>
      <c r="D181" s="8" t="s">
        <v>54</v>
      </c>
    </row>
    <row r="182" spans="1:4" x14ac:dyDescent="0.25">
      <c r="A182" s="8" t="s">
        <v>367</v>
      </c>
      <c r="B182" s="8" t="s">
        <v>368</v>
      </c>
      <c r="D182" s="8" t="s">
        <v>54</v>
      </c>
    </row>
    <row r="183" spans="1:4" x14ac:dyDescent="0.25">
      <c r="A183" s="8" t="s">
        <v>369</v>
      </c>
      <c r="B183" s="8" t="s">
        <v>370</v>
      </c>
      <c r="D183" s="8" t="s">
        <v>54</v>
      </c>
    </row>
    <row r="184" spans="1:4" x14ac:dyDescent="0.25">
      <c r="A184" s="8" t="s">
        <v>310</v>
      </c>
      <c r="B184" s="8" t="s">
        <v>311</v>
      </c>
      <c r="D184" s="8" t="s">
        <v>54</v>
      </c>
    </row>
    <row r="185" spans="1:4" x14ac:dyDescent="0.25">
      <c r="A185" s="8" t="s">
        <v>312</v>
      </c>
      <c r="B185" s="8" t="s">
        <v>313</v>
      </c>
      <c r="D185" s="8" t="s">
        <v>54</v>
      </c>
    </row>
    <row r="186" spans="1:4" x14ac:dyDescent="0.25">
      <c r="A186" s="8" t="s">
        <v>314</v>
      </c>
      <c r="B186" s="8" t="s">
        <v>315</v>
      </c>
      <c r="D186" s="8" t="s">
        <v>54</v>
      </c>
    </row>
    <row r="187" spans="1:4" x14ac:dyDescent="0.25">
      <c r="A187" s="8" t="s">
        <v>316</v>
      </c>
      <c r="B187" s="8" t="s">
        <v>317</v>
      </c>
      <c r="D187" s="8" t="s">
        <v>54</v>
      </c>
    </row>
    <row r="188" spans="1:4" x14ac:dyDescent="0.25">
      <c r="A188" s="8" t="s">
        <v>318</v>
      </c>
      <c r="B188" s="8" t="s">
        <v>319</v>
      </c>
      <c r="D188" s="8" t="s">
        <v>54</v>
      </c>
    </row>
    <row r="189" spans="1:4" x14ac:dyDescent="0.25">
      <c r="A189" s="8" t="s">
        <v>320</v>
      </c>
      <c r="B189" s="8" t="s">
        <v>321</v>
      </c>
      <c r="D189" s="8" t="s">
        <v>54</v>
      </c>
    </row>
    <row r="190" spans="1:4" x14ac:dyDescent="0.25">
      <c r="A190" s="8" t="s">
        <v>371</v>
      </c>
      <c r="B190" s="8" t="s">
        <v>372</v>
      </c>
      <c r="D190" s="8" t="s">
        <v>54</v>
      </c>
    </row>
    <row r="191" spans="1:4" x14ac:dyDescent="0.25">
      <c r="A191" s="8" t="s">
        <v>326</v>
      </c>
      <c r="B191" s="8" t="s">
        <v>327</v>
      </c>
      <c r="D191" s="8" t="s">
        <v>54</v>
      </c>
    </row>
    <row r="192" spans="1:4" x14ac:dyDescent="0.25">
      <c r="A192" s="8" t="s">
        <v>328</v>
      </c>
      <c r="B192" s="8" t="s">
        <v>329</v>
      </c>
      <c r="D192" s="8" t="s">
        <v>54</v>
      </c>
    </row>
    <row r="193" spans="1:4" x14ac:dyDescent="0.25">
      <c r="A193" s="8" t="s">
        <v>330</v>
      </c>
      <c r="B193" s="8" t="s">
        <v>331</v>
      </c>
      <c r="D193" s="8" t="s">
        <v>54</v>
      </c>
    </row>
    <row r="194" spans="1:4" x14ac:dyDescent="0.25">
      <c r="A194" s="8" t="s">
        <v>332</v>
      </c>
      <c r="B194" s="8" t="s">
        <v>333</v>
      </c>
      <c r="D194" s="8" t="s">
        <v>54</v>
      </c>
    </row>
    <row r="195" spans="1:4" x14ac:dyDescent="0.25">
      <c r="A195" s="8" t="s">
        <v>373</v>
      </c>
      <c r="B195" s="8" t="s">
        <v>374</v>
      </c>
      <c r="D195" s="8" t="s">
        <v>54</v>
      </c>
    </row>
    <row r="196" spans="1:4" x14ac:dyDescent="0.25">
      <c r="A196" s="8" t="s">
        <v>272</v>
      </c>
      <c r="B196" s="8" t="s">
        <v>273</v>
      </c>
      <c r="D196" s="8" t="s">
        <v>54</v>
      </c>
    </row>
    <row r="197" spans="1:4" x14ac:dyDescent="0.25">
      <c r="A197" s="8" t="s">
        <v>274</v>
      </c>
      <c r="B197" s="8" t="s">
        <v>275</v>
      </c>
      <c r="D197" s="8" t="s">
        <v>54</v>
      </c>
    </row>
    <row r="198" spans="1:4" x14ac:dyDescent="0.25">
      <c r="A198" s="8" t="s">
        <v>375</v>
      </c>
      <c r="B198" s="8" t="s">
        <v>376</v>
      </c>
      <c r="D198" s="8" t="s">
        <v>54</v>
      </c>
    </row>
    <row r="199" spans="1:4" x14ac:dyDescent="0.25">
      <c r="A199" s="8" t="s">
        <v>300</v>
      </c>
      <c r="B199" s="8" t="s">
        <v>301</v>
      </c>
      <c r="D199" s="8" t="s">
        <v>54</v>
      </c>
    </row>
    <row r="200" spans="1:4" x14ac:dyDescent="0.25">
      <c r="A200" s="8" t="s">
        <v>302</v>
      </c>
      <c r="B200" s="8" t="s">
        <v>303</v>
      </c>
      <c r="D200" s="8" t="s">
        <v>54</v>
      </c>
    </row>
    <row r="201" spans="1:4" x14ac:dyDescent="0.25">
      <c r="A201" s="8" t="s">
        <v>280</v>
      </c>
      <c r="B201" s="8" t="s">
        <v>281</v>
      </c>
      <c r="D201" s="8" t="s">
        <v>54</v>
      </c>
    </row>
    <row r="202" spans="1:4" x14ac:dyDescent="0.25">
      <c r="A202" s="8" t="s">
        <v>304</v>
      </c>
      <c r="B202" s="8" t="s">
        <v>305</v>
      </c>
      <c r="D202" s="8" t="s">
        <v>54</v>
      </c>
    </row>
    <row r="203" spans="1:4" x14ac:dyDescent="0.25">
      <c r="A203" s="8" t="s">
        <v>306</v>
      </c>
      <c r="B203" s="8" t="s">
        <v>307</v>
      </c>
      <c r="D203" s="8" t="s">
        <v>54</v>
      </c>
    </row>
    <row r="204" spans="1:4" x14ac:dyDescent="0.25">
      <c r="A204" s="8" t="s">
        <v>282</v>
      </c>
      <c r="B204" s="8" t="s">
        <v>283</v>
      </c>
      <c r="D204" s="8" t="s">
        <v>54</v>
      </c>
    </row>
    <row r="205" spans="1:4" x14ac:dyDescent="0.25">
      <c r="A205" s="8" t="s">
        <v>308</v>
      </c>
      <c r="B205" s="8" t="s">
        <v>309</v>
      </c>
      <c r="D205" s="8" t="s">
        <v>54</v>
      </c>
    </row>
    <row r="206" spans="1:4" x14ac:dyDescent="0.25">
      <c r="A206" s="8" t="s">
        <v>377</v>
      </c>
      <c r="B206" s="8" t="s">
        <v>378</v>
      </c>
      <c r="D206" s="8" t="s">
        <v>54</v>
      </c>
    </row>
    <row r="207" spans="1:4" x14ac:dyDescent="0.25">
      <c r="A207" s="8" t="s">
        <v>284</v>
      </c>
      <c r="B207" s="8" t="s">
        <v>285</v>
      </c>
      <c r="D207" s="8" t="s">
        <v>54</v>
      </c>
    </row>
    <row r="208" spans="1:4" x14ac:dyDescent="0.25">
      <c r="A208" s="8" t="s">
        <v>286</v>
      </c>
      <c r="B208" s="8" t="s">
        <v>287</v>
      </c>
      <c r="D208" s="8" t="s">
        <v>54</v>
      </c>
    </row>
    <row r="209" spans="1:4" x14ac:dyDescent="0.25">
      <c r="A209" s="8" t="s">
        <v>288</v>
      </c>
      <c r="B209" s="8" t="s">
        <v>289</v>
      </c>
      <c r="D209" s="8" t="s">
        <v>54</v>
      </c>
    </row>
    <row r="210" spans="1:4" x14ac:dyDescent="0.25">
      <c r="A210" s="8" t="s">
        <v>322</v>
      </c>
      <c r="B210" s="8" t="s">
        <v>323</v>
      </c>
      <c r="D210" s="8" t="s">
        <v>54</v>
      </c>
    </row>
    <row r="211" spans="1:4" x14ac:dyDescent="0.25">
      <c r="A211" s="8" t="s">
        <v>324</v>
      </c>
      <c r="B211" s="8" t="s">
        <v>325</v>
      </c>
      <c r="D211" s="8" t="s">
        <v>54</v>
      </c>
    </row>
    <row r="212" spans="1:4" x14ac:dyDescent="0.25">
      <c r="A212" s="8" t="s">
        <v>379</v>
      </c>
      <c r="B212" s="8" t="s">
        <v>380</v>
      </c>
      <c r="D212" s="8" t="s">
        <v>54</v>
      </c>
    </row>
    <row r="213" spans="1:4" x14ac:dyDescent="0.25">
      <c r="A213" s="8" t="s">
        <v>334</v>
      </c>
      <c r="B213" s="8" t="s">
        <v>335</v>
      </c>
      <c r="D213" s="8" t="s">
        <v>54</v>
      </c>
    </row>
    <row r="214" spans="1:4" ht="90" x14ac:dyDescent="0.25">
      <c r="A214" s="8" t="s">
        <v>381</v>
      </c>
      <c r="B214" s="8" t="s">
        <v>15</v>
      </c>
      <c r="C214" s="8" t="s">
        <v>382</v>
      </c>
      <c r="D214" s="8" t="s">
        <v>54</v>
      </c>
    </row>
    <row r="215" spans="1:4" x14ac:dyDescent="0.25">
      <c r="A215" s="8" t="s">
        <v>276</v>
      </c>
      <c r="B215" s="8" t="s">
        <v>277</v>
      </c>
      <c r="D215" s="8" t="s">
        <v>54</v>
      </c>
    </row>
    <row r="216" spans="1:4" x14ac:dyDescent="0.25">
      <c r="A216" s="8" t="s">
        <v>278</v>
      </c>
      <c r="B216" s="8" t="s">
        <v>279</v>
      </c>
      <c r="D216" s="8" t="s">
        <v>54</v>
      </c>
    </row>
    <row r="217" spans="1:4" x14ac:dyDescent="0.25">
      <c r="A217" s="8" t="s">
        <v>383</v>
      </c>
      <c r="B217" s="8" t="s">
        <v>384</v>
      </c>
      <c r="D217" s="8" t="s">
        <v>54</v>
      </c>
    </row>
    <row r="218" spans="1:4" x14ac:dyDescent="0.25">
      <c r="A218" s="8" t="s">
        <v>366</v>
      </c>
      <c r="B218" s="8" t="s">
        <v>36</v>
      </c>
      <c r="D218" s="8" t="s">
        <v>54</v>
      </c>
    </row>
    <row r="219" spans="1:4" x14ac:dyDescent="0.25">
      <c r="A219" s="8" t="s">
        <v>367</v>
      </c>
      <c r="B219" s="8" t="s">
        <v>368</v>
      </c>
      <c r="D219" s="8" t="s">
        <v>54</v>
      </c>
    </row>
    <row r="220" spans="1:4" x14ac:dyDescent="0.25">
      <c r="A220" s="8" t="s">
        <v>385</v>
      </c>
      <c r="B220" s="8" t="s">
        <v>386</v>
      </c>
      <c r="D220" s="8" t="s">
        <v>54</v>
      </c>
    </row>
    <row r="221" spans="1:4" x14ac:dyDescent="0.25">
      <c r="A221" s="8" t="s">
        <v>310</v>
      </c>
      <c r="B221" s="8" t="s">
        <v>311</v>
      </c>
      <c r="D221" s="8" t="s">
        <v>54</v>
      </c>
    </row>
    <row r="222" spans="1:4" x14ac:dyDescent="0.25">
      <c r="A222" s="8" t="s">
        <v>312</v>
      </c>
      <c r="B222" s="8" t="s">
        <v>313</v>
      </c>
      <c r="D222" s="8" t="s">
        <v>54</v>
      </c>
    </row>
    <row r="223" spans="1:4" x14ac:dyDescent="0.25">
      <c r="A223" s="8" t="s">
        <v>314</v>
      </c>
      <c r="B223" s="8" t="s">
        <v>315</v>
      </c>
      <c r="D223" s="8" t="s">
        <v>54</v>
      </c>
    </row>
    <row r="224" spans="1:4" x14ac:dyDescent="0.25">
      <c r="A224" s="8" t="s">
        <v>316</v>
      </c>
      <c r="B224" s="8" t="s">
        <v>317</v>
      </c>
      <c r="D224" s="8" t="s">
        <v>54</v>
      </c>
    </row>
    <row r="225" spans="1:4" x14ac:dyDescent="0.25">
      <c r="A225" s="8" t="s">
        <v>318</v>
      </c>
      <c r="B225" s="8" t="s">
        <v>319</v>
      </c>
      <c r="D225" s="8" t="s">
        <v>54</v>
      </c>
    </row>
    <row r="226" spans="1:4" x14ac:dyDescent="0.25">
      <c r="A226" s="8" t="s">
        <v>320</v>
      </c>
      <c r="B226" s="8" t="s">
        <v>321</v>
      </c>
      <c r="D226" s="8" t="s">
        <v>54</v>
      </c>
    </row>
    <row r="227" spans="1:4" x14ac:dyDescent="0.25">
      <c r="A227" s="8" t="s">
        <v>371</v>
      </c>
      <c r="B227" s="8" t="s">
        <v>372</v>
      </c>
      <c r="D227" s="8" t="s">
        <v>54</v>
      </c>
    </row>
    <row r="228" spans="1:4" x14ac:dyDescent="0.25">
      <c r="A228" s="8" t="s">
        <v>387</v>
      </c>
      <c r="B228" s="8" t="s">
        <v>388</v>
      </c>
      <c r="D228" s="8" t="s">
        <v>54</v>
      </c>
    </row>
    <row r="229" spans="1:4" x14ac:dyDescent="0.25">
      <c r="A229" s="8" t="s">
        <v>326</v>
      </c>
      <c r="B229" s="8" t="s">
        <v>327</v>
      </c>
      <c r="D229" s="8" t="s">
        <v>54</v>
      </c>
    </row>
    <row r="230" spans="1:4" x14ac:dyDescent="0.25">
      <c r="A230" s="8" t="s">
        <v>328</v>
      </c>
      <c r="B230" s="8" t="s">
        <v>329</v>
      </c>
      <c r="D230" s="8" t="s">
        <v>54</v>
      </c>
    </row>
    <row r="231" spans="1:4" x14ac:dyDescent="0.25">
      <c r="A231" s="8" t="s">
        <v>330</v>
      </c>
      <c r="B231" s="8" t="s">
        <v>331</v>
      </c>
      <c r="D231" s="8" t="s">
        <v>54</v>
      </c>
    </row>
    <row r="232" spans="1:4" x14ac:dyDescent="0.25">
      <c r="A232" s="8" t="s">
        <v>332</v>
      </c>
      <c r="B232" s="8" t="s">
        <v>333</v>
      </c>
      <c r="D232" s="8" t="s">
        <v>54</v>
      </c>
    </row>
    <row r="233" spans="1:4" x14ac:dyDescent="0.25">
      <c r="A233" s="8" t="s">
        <v>272</v>
      </c>
      <c r="B233" s="8" t="s">
        <v>273</v>
      </c>
      <c r="D233" s="8" t="s">
        <v>54</v>
      </c>
    </row>
    <row r="234" spans="1:4" x14ac:dyDescent="0.25">
      <c r="A234" s="8" t="s">
        <v>389</v>
      </c>
      <c r="B234" s="8" t="s">
        <v>390</v>
      </c>
      <c r="D234" s="8" t="s">
        <v>54</v>
      </c>
    </row>
    <row r="235" spans="1:4" x14ac:dyDescent="0.25">
      <c r="A235" s="8" t="s">
        <v>274</v>
      </c>
      <c r="B235" s="8" t="s">
        <v>275</v>
      </c>
      <c r="D235" s="8" t="s">
        <v>54</v>
      </c>
    </row>
    <row r="236" spans="1:4" x14ac:dyDescent="0.25">
      <c r="A236" s="8" t="s">
        <v>300</v>
      </c>
      <c r="B236" s="8" t="s">
        <v>301</v>
      </c>
      <c r="D236" s="8" t="s">
        <v>54</v>
      </c>
    </row>
    <row r="237" spans="1:4" x14ac:dyDescent="0.25">
      <c r="A237" s="8" t="s">
        <v>302</v>
      </c>
      <c r="B237" s="8" t="s">
        <v>303</v>
      </c>
      <c r="D237" s="8" t="s">
        <v>54</v>
      </c>
    </row>
    <row r="238" spans="1:4" x14ac:dyDescent="0.25">
      <c r="A238" s="8" t="s">
        <v>280</v>
      </c>
      <c r="B238" s="8" t="s">
        <v>281</v>
      </c>
      <c r="D238" s="8" t="s">
        <v>54</v>
      </c>
    </row>
    <row r="239" spans="1:4" x14ac:dyDescent="0.25">
      <c r="A239" s="8" t="s">
        <v>304</v>
      </c>
      <c r="B239" s="8" t="s">
        <v>305</v>
      </c>
      <c r="D239" s="8" t="s">
        <v>54</v>
      </c>
    </row>
    <row r="240" spans="1:4" x14ac:dyDescent="0.25">
      <c r="A240" s="8" t="s">
        <v>306</v>
      </c>
      <c r="B240" s="8" t="s">
        <v>307</v>
      </c>
      <c r="D240" s="8" t="s">
        <v>54</v>
      </c>
    </row>
    <row r="241" spans="1:4" x14ac:dyDescent="0.25">
      <c r="A241" s="8" t="s">
        <v>282</v>
      </c>
      <c r="B241" s="8" t="s">
        <v>283</v>
      </c>
      <c r="D241" s="8" t="s">
        <v>54</v>
      </c>
    </row>
    <row r="242" spans="1:4" x14ac:dyDescent="0.25">
      <c r="A242" s="8" t="s">
        <v>308</v>
      </c>
      <c r="B242" s="8" t="s">
        <v>309</v>
      </c>
      <c r="D242" s="8" t="s">
        <v>54</v>
      </c>
    </row>
    <row r="243" spans="1:4" x14ac:dyDescent="0.25">
      <c r="A243" s="8" t="s">
        <v>284</v>
      </c>
      <c r="B243" s="8" t="s">
        <v>285</v>
      </c>
      <c r="D243" s="8" t="s">
        <v>54</v>
      </c>
    </row>
    <row r="244" spans="1:4" x14ac:dyDescent="0.25">
      <c r="A244" s="8" t="s">
        <v>391</v>
      </c>
      <c r="B244" s="8" t="s">
        <v>392</v>
      </c>
      <c r="D244" s="8" t="s">
        <v>54</v>
      </c>
    </row>
    <row r="245" spans="1:4" x14ac:dyDescent="0.25">
      <c r="A245" s="8" t="s">
        <v>286</v>
      </c>
      <c r="B245" s="8" t="s">
        <v>287</v>
      </c>
      <c r="D245" s="8" t="s">
        <v>54</v>
      </c>
    </row>
    <row r="246" spans="1:4" x14ac:dyDescent="0.25">
      <c r="A246" s="8" t="s">
        <v>288</v>
      </c>
      <c r="B246" s="8" t="s">
        <v>289</v>
      </c>
      <c r="D246" s="8" t="s">
        <v>54</v>
      </c>
    </row>
    <row r="247" spans="1:4" x14ac:dyDescent="0.25">
      <c r="A247" s="8" t="s">
        <v>322</v>
      </c>
      <c r="B247" s="8" t="s">
        <v>323</v>
      </c>
      <c r="D247" s="8" t="s">
        <v>54</v>
      </c>
    </row>
    <row r="248" spans="1:4" x14ac:dyDescent="0.25">
      <c r="A248" s="8" t="s">
        <v>324</v>
      </c>
      <c r="B248" s="8" t="s">
        <v>325</v>
      </c>
      <c r="D248" s="8" t="s">
        <v>54</v>
      </c>
    </row>
    <row r="249" spans="1:4" x14ac:dyDescent="0.25">
      <c r="A249" s="8" t="s">
        <v>393</v>
      </c>
      <c r="B249" s="8" t="s">
        <v>394</v>
      </c>
      <c r="D249" s="8" t="s">
        <v>54</v>
      </c>
    </row>
    <row r="250" spans="1:4" x14ac:dyDescent="0.25">
      <c r="A250" s="8" t="s">
        <v>334</v>
      </c>
      <c r="B250" s="8" t="s">
        <v>335</v>
      </c>
      <c r="D250" s="8" t="s">
        <v>54</v>
      </c>
    </row>
    <row r="251" spans="1:4" ht="90" x14ac:dyDescent="0.25">
      <c r="A251" s="8" t="s">
        <v>395</v>
      </c>
      <c r="B251" s="8" t="s">
        <v>16</v>
      </c>
      <c r="C251" s="8" t="s">
        <v>396</v>
      </c>
      <c r="D251" s="8" t="s">
        <v>54</v>
      </c>
    </row>
    <row r="252" spans="1:4" x14ac:dyDescent="0.25">
      <c r="A252" s="8" t="s">
        <v>397</v>
      </c>
      <c r="B252" s="8" t="s">
        <v>398</v>
      </c>
      <c r="D252" s="8" t="s">
        <v>54</v>
      </c>
    </row>
    <row r="253" spans="1:4" x14ac:dyDescent="0.25">
      <c r="A253" s="8" t="s">
        <v>399</v>
      </c>
      <c r="B253" s="8" t="s">
        <v>400</v>
      </c>
      <c r="D253" s="8" t="s">
        <v>54</v>
      </c>
    </row>
    <row r="254" spans="1:4" x14ac:dyDescent="0.25">
      <c r="A254" s="8" t="s">
        <v>401</v>
      </c>
      <c r="B254" s="8" t="s">
        <v>402</v>
      </c>
      <c r="D254" s="8" t="s">
        <v>54</v>
      </c>
    </row>
    <row r="255" spans="1:4" x14ac:dyDescent="0.25">
      <c r="A255" s="8" t="s">
        <v>403</v>
      </c>
      <c r="B255" s="8" t="s">
        <v>404</v>
      </c>
      <c r="D255" s="8" t="s">
        <v>54</v>
      </c>
    </row>
    <row r="256" spans="1:4" x14ac:dyDescent="0.25">
      <c r="A256" s="8" t="s">
        <v>405</v>
      </c>
      <c r="B256" s="8" t="s">
        <v>406</v>
      </c>
      <c r="D256" s="8" t="s">
        <v>54</v>
      </c>
    </row>
    <row r="257" spans="1:4" x14ac:dyDescent="0.25">
      <c r="A257" s="8" t="s">
        <v>407</v>
      </c>
      <c r="B257" s="8" t="s">
        <v>408</v>
      </c>
      <c r="D257" s="8" t="s">
        <v>54</v>
      </c>
    </row>
    <row r="258" spans="1:4" x14ac:dyDescent="0.25">
      <c r="A258" s="8" t="s">
        <v>409</v>
      </c>
      <c r="B258" s="8" t="s">
        <v>410</v>
      </c>
      <c r="D258" s="8" t="s">
        <v>54</v>
      </c>
    </row>
    <row r="259" spans="1:4" x14ac:dyDescent="0.25">
      <c r="A259" s="8" t="s">
        <v>411</v>
      </c>
      <c r="B259" s="8" t="s">
        <v>412</v>
      </c>
      <c r="D259" s="8" t="s">
        <v>54</v>
      </c>
    </row>
    <row r="260" spans="1:4" x14ac:dyDescent="0.25">
      <c r="A260" s="8" t="s">
        <v>413</v>
      </c>
      <c r="B260" s="8" t="s">
        <v>414</v>
      </c>
      <c r="D260" s="8" t="s">
        <v>54</v>
      </c>
    </row>
    <row r="261" spans="1:4" x14ac:dyDescent="0.25">
      <c r="A261" s="8" t="s">
        <v>415</v>
      </c>
      <c r="B261" s="8" t="s">
        <v>416</v>
      </c>
      <c r="D261" s="8" t="s">
        <v>54</v>
      </c>
    </row>
    <row r="262" spans="1:4" x14ac:dyDescent="0.25">
      <c r="A262" s="8" t="s">
        <v>417</v>
      </c>
      <c r="B262" s="8" t="s">
        <v>418</v>
      </c>
      <c r="D262" s="8" t="s">
        <v>54</v>
      </c>
    </row>
    <row r="263" spans="1:4" x14ac:dyDescent="0.25">
      <c r="A263" s="8" t="s">
        <v>419</v>
      </c>
      <c r="B263" s="8" t="s">
        <v>420</v>
      </c>
      <c r="D263" s="8" t="s">
        <v>54</v>
      </c>
    </row>
    <row r="264" spans="1:4" x14ac:dyDescent="0.25">
      <c r="A264" s="8" t="s">
        <v>421</v>
      </c>
      <c r="B264" s="8" t="s">
        <v>422</v>
      </c>
      <c r="D264" s="8" t="s">
        <v>54</v>
      </c>
    </row>
    <row r="265" spans="1:4" x14ac:dyDescent="0.25">
      <c r="A265" s="8" t="s">
        <v>423</v>
      </c>
      <c r="B265" s="8" t="s">
        <v>424</v>
      </c>
      <c r="D265" s="8" t="s">
        <v>54</v>
      </c>
    </row>
    <row r="266" spans="1:4" x14ac:dyDescent="0.25">
      <c r="A266" s="8" t="s">
        <v>425</v>
      </c>
      <c r="B266" s="8" t="s">
        <v>426</v>
      </c>
      <c r="D266" s="8" t="s">
        <v>54</v>
      </c>
    </row>
    <row r="267" spans="1:4" x14ac:dyDescent="0.25">
      <c r="A267" s="8" t="s">
        <v>427</v>
      </c>
      <c r="B267" s="8" t="s">
        <v>428</v>
      </c>
      <c r="D267" s="8" t="s">
        <v>54</v>
      </c>
    </row>
    <row r="268" spans="1:4" x14ac:dyDescent="0.25">
      <c r="A268" s="8" t="s">
        <v>429</v>
      </c>
      <c r="B268" s="8" t="s">
        <v>430</v>
      </c>
      <c r="D268" s="8" t="s">
        <v>54</v>
      </c>
    </row>
    <row r="269" spans="1:4" x14ac:dyDescent="0.25">
      <c r="A269" s="8" t="s">
        <v>431</v>
      </c>
      <c r="B269" s="8" t="s">
        <v>432</v>
      </c>
      <c r="D269" s="8" t="s">
        <v>54</v>
      </c>
    </row>
    <row r="270" spans="1:4" x14ac:dyDescent="0.25">
      <c r="A270" s="8" t="s">
        <v>433</v>
      </c>
      <c r="B270" s="8" t="s">
        <v>434</v>
      </c>
      <c r="D270" s="8" t="s">
        <v>54</v>
      </c>
    </row>
    <row r="271" spans="1:4" x14ac:dyDescent="0.25">
      <c r="A271" s="8" t="s">
        <v>435</v>
      </c>
      <c r="B271" s="8" t="s">
        <v>436</v>
      </c>
      <c r="D271" s="8" t="s">
        <v>54</v>
      </c>
    </row>
    <row r="272" spans="1:4" x14ac:dyDescent="0.25">
      <c r="A272" s="8" t="s">
        <v>437</v>
      </c>
      <c r="B272" s="8" t="s">
        <v>438</v>
      </c>
      <c r="D272" s="8" t="s">
        <v>54</v>
      </c>
    </row>
    <row r="273" spans="1:4" x14ac:dyDescent="0.25">
      <c r="A273" s="8" t="s">
        <v>439</v>
      </c>
      <c r="B273" s="8" t="s">
        <v>440</v>
      </c>
      <c r="D273" s="8" t="s">
        <v>54</v>
      </c>
    </row>
    <row r="274" spans="1:4" x14ac:dyDescent="0.25">
      <c r="A274" s="8" t="s">
        <v>441</v>
      </c>
      <c r="B274" s="8" t="s">
        <v>442</v>
      </c>
      <c r="D274" s="8" t="s">
        <v>54</v>
      </c>
    </row>
    <row r="275" spans="1:4" x14ac:dyDescent="0.25">
      <c r="A275" s="8" t="s">
        <v>443</v>
      </c>
      <c r="B275" s="8" t="s">
        <v>444</v>
      </c>
      <c r="D275" s="8" t="s">
        <v>54</v>
      </c>
    </row>
    <row r="276" spans="1:4" x14ac:dyDescent="0.25">
      <c r="A276" s="8" t="s">
        <v>445</v>
      </c>
      <c r="B276" s="8" t="s">
        <v>446</v>
      </c>
      <c r="D276" s="8" t="s">
        <v>54</v>
      </c>
    </row>
    <row r="277" spans="1:4" x14ac:dyDescent="0.25">
      <c r="A277" s="8" t="s">
        <v>447</v>
      </c>
      <c r="B277" s="8" t="s">
        <v>448</v>
      </c>
      <c r="D277" s="8" t="s">
        <v>54</v>
      </c>
    </row>
    <row r="278" spans="1:4" x14ac:dyDescent="0.25">
      <c r="A278" s="8" t="s">
        <v>449</v>
      </c>
      <c r="B278" s="8" t="s">
        <v>450</v>
      </c>
      <c r="D278" s="8" t="s">
        <v>54</v>
      </c>
    </row>
    <row r="279" spans="1:4" x14ac:dyDescent="0.25">
      <c r="A279" s="8" t="s">
        <v>451</v>
      </c>
      <c r="B279" s="8" t="s">
        <v>452</v>
      </c>
      <c r="D279" s="8" t="s">
        <v>54</v>
      </c>
    </row>
    <row r="280" spans="1:4" x14ac:dyDescent="0.25">
      <c r="A280" s="8" t="s">
        <v>453</v>
      </c>
      <c r="B280" s="8" t="s">
        <v>454</v>
      </c>
      <c r="D280" s="8" t="s">
        <v>54</v>
      </c>
    </row>
    <row r="281" spans="1:4" x14ac:dyDescent="0.25">
      <c r="A281" s="8" t="s">
        <v>455</v>
      </c>
      <c r="B281" s="8" t="s">
        <v>456</v>
      </c>
      <c r="D281" s="8" t="s">
        <v>54</v>
      </c>
    </row>
    <row r="282" spans="1:4" x14ac:dyDescent="0.25">
      <c r="A282" s="8" t="s">
        <v>457</v>
      </c>
      <c r="B282" s="8" t="s">
        <v>458</v>
      </c>
      <c r="D282" s="8" t="s">
        <v>54</v>
      </c>
    </row>
    <row r="283" spans="1:4" x14ac:dyDescent="0.25">
      <c r="A283" s="8" t="s">
        <v>459</v>
      </c>
      <c r="B283" s="8" t="s">
        <v>460</v>
      </c>
      <c r="D283" s="8" t="s">
        <v>54</v>
      </c>
    </row>
    <row r="284" spans="1:4" x14ac:dyDescent="0.25">
      <c r="A284" s="8" t="s">
        <v>461</v>
      </c>
      <c r="B284" s="8" t="s">
        <v>462</v>
      </c>
      <c r="D284" s="8" t="s">
        <v>54</v>
      </c>
    </row>
    <row r="285" spans="1:4" x14ac:dyDescent="0.25">
      <c r="A285" s="8" t="s">
        <v>463</v>
      </c>
      <c r="B285" s="8" t="s">
        <v>464</v>
      </c>
      <c r="D285" s="8" t="s">
        <v>54</v>
      </c>
    </row>
    <row r="286" spans="1:4" x14ac:dyDescent="0.25">
      <c r="A286" s="8" t="s">
        <v>465</v>
      </c>
      <c r="B286" s="8" t="s">
        <v>466</v>
      </c>
      <c r="D286" s="8" t="s">
        <v>54</v>
      </c>
    </row>
    <row r="287" spans="1:4" x14ac:dyDescent="0.25">
      <c r="A287" s="8" t="s">
        <v>467</v>
      </c>
      <c r="B287" s="8" t="s">
        <v>468</v>
      </c>
      <c r="D287" s="8" t="s">
        <v>54</v>
      </c>
    </row>
    <row r="288" spans="1:4" x14ac:dyDescent="0.25">
      <c r="A288" s="8" t="s">
        <v>469</v>
      </c>
      <c r="B288" s="8" t="s">
        <v>470</v>
      </c>
      <c r="D288" s="8" t="s">
        <v>54</v>
      </c>
    </row>
    <row r="289" spans="1:4" x14ac:dyDescent="0.25">
      <c r="A289" s="8" t="s">
        <v>471</v>
      </c>
      <c r="B289" s="8" t="s">
        <v>472</v>
      </c>
      <c r="D289" s="8" t="s">
        <v>54</v>
      </c>
    </row>
    <row r="290" spans="1:4" x14ac:dyDescent="0.25">
      <c r="A290" s="8" t="s">
        <v>473</v>
      </c>
      <c r="B290" s="8" t="s">
        <v>474</v>
      </c>
      <c r="D290" s="8" t="s">
        <v>54</v>
      </c>
    </row>
    <row r="291" spans="1:4" x14ac:dyDescent="0.25">
      <c r="A291" s="8" t="s">
        <v>475</v>
      </c>
      <c r="B291" s="8" t="s">
        <v>476</v>
      </c>
      <c r="D291" s="8" t="s">
        <v>54</v>
      </c>
    </row>
    <row r="292" spans="1:4" x14ac:dyDescent="0.25">
      <c r="A292" s="8" t="s">
        <v>477</v>
      </c>
      <c r="B292" s="8" t="s">
        <v>478</v>
      </c>
      <c r="D292" s="8" t="s">
        <v>54</v>
      </c>
    </row>
    <row r="293" spans="1:4" x14ac:dyDescent="0.25">
      <c r="A293" s="8" t="s">
        <v>479</v>
      </c>
      <c r="B293" s="8" t="s">
        <v>480</v>
      </c>
      <c r="D293" s="8" t="s">
        <v>54</v>
      </c>
    </row>
    <row r="294" spans="1:4" x14ac:dyDescent="0.25">
      <c r="A294" s="8" t="s">
        <v>481</v>
      </c>
      <c r="B294" s="8" t="s">
        <v>482</v>
      </c>
      <c r="D294" s="8" t="s">
        <v>54</v>
      </c>
    </row>
    <row r="295" spans="1:4" x14ac:dyDescent="0.25">
      <c r="A295" s="8" t="s">
        <v>483</v>
      </c>
      <c r="B295" s="8" t="s">
        <v>484</v>
      </c>
      <c r="D295" s="8" t="s">
        <v>54</v>
      </c>
    </row>
    <row r="296" spans="1:4" x14ac:dyDescent="0.25">
      <c r="A296" s="8" t="s">
        <v>485</v>
      </c>
      <c r="B296" s="8" t="s">
        <v>486</v>
      </c>
      <c r="D296" s="8" t="s">
        <v>54</v>
      </c>
    </row>
    <row r="297" spans="1:4" x14ac:dyDescent="0.25">
      <c r="A297" s="8" t="s">
        <v>487</v>
      </c>
      <c r="B297" s="8" t="s">
        <v>488</v>
      </c>
      <c r="D297" s="8" t="s">
        <v>54</v>
      </c>
    </row>
    <row r="298" spans="1:4" ht="30" x14ac:dyDescent="0.25">
      <c r="A298" s="8" t="s">
        <v>489</v>
      </c>
      <c r="B298" s="8" t="s">
        <v>17</v>
      </c>
      <c r="C298" s="8" t="s">
        <v>490</v>
      </c>
      <c r="D298" s="8" t="s">
        <v>54</v>
      </c>
    </row>
    <row r="299" spans="1:4" x14ac:dyDescent="0.25">
      <c r="A299" s="8" t="s">
        <v>491</v>
      </c>
      <c r="B299" s="8" t="s">
        <v>492</v>
      </c>
      <c r="D299" s="8" t="s">
        <v>54</v>
      </c>
    </row>
    <row r="300" spans="1:4" x14ac:dyDescent="0.25">
      <c r="A300" s="8" t="s">
        <v>493</v>
      </c>
      <c r="B300" s="8" t="s">
        <v>494</v>
      </c>
      <c r="D300" s="8" t="s">
        <v>54</v>
      </c>
    </row>
    <row r="301" spans="1:4" x14ac:dyDescent="0.25">
      <c r="A301" s="8" t="s">
        <v>495</v>
      </c>
      <c r="B301" s="8" t="s">
        <v>496</v>
      </c>
      <c r="D301" s="8" t="s">
        <v>54</v>
      </c>
    </row>
    <row r="302" spans="1:4" x14ac:dyDescent="0.25">
      <c r="A302" s="8" t="s">
        <v>497</v>
      </c>
      <c r="B302" s="8" t="s">
        <v>498</v>
      </c>
      <c r="D302" s="8" t="s">
        <v>54</v>
      </c>
    </row>
    <row r="303" spans="1:4" ht="30" x14ac:dyDescent="0.25">
      <c r="A303" s="8" t="s">
        <v>499</v>
      </c>
      <c r="B303" s="8" t="s">
        <v>500</v>
      </c>
      <c r="D303" s="8" t="s">
        <v>54</v>
      </c>
    </row>
    <row r="304" spans="1:4" x14ac:dyDescent="0.25">
      <c r="A304" s="8" t="s">
        <v>501</v>
      </c>
      <c r="B304" s="8" t="s">
        <v>502</v>
      </c>
      <c r="D304" s="8" t="s">
        <v>54</v>
      </c>
    </row>
    <row r="305" spans="1:4" x14ac:dyDescent="0.25">
      <c r="A305" s="8" t="s">
        <v>503</v>
      </c>
      <c r="B305" s="8" t="s">
        <v>504</v>
      </c>
      <c r="D305" s="8" t="s">
        <v>54</v>
      </c>
    </row>
    <row r="306" spans="1:4" ht="30" x14ac:dyDescent="0.25">
      <c r="A306" s="8" t="s">
        <v>505</v>
      </c>
      <c r="B306" s="8" t="s">
        <v>506</v>
      </c>
      <c r="D306" s="8" t="s">
        <v>54</v>
      </c>
    </row>
    <row r="307" spans="1:4" x14ac:dyDescent="0.25">
      <c r="A307" s="8" t="s">
        <v>507</v>
      </c>
      <c r="B307" s="8" t="s">
        <v>508</v>
      </c>
      <c r="D307" s="8" t="s">
        <v>54</v>
      </c>
    </row>
    <row r="308" spans="1:4" x14ac:dyDescent="0.25">
      <c r="A308" s="8" t="s">
        <v>509</v>
      </c>
      <c r="B308" s="8" t="s">
        <v>510</v>
      </c>
      <c r="D308" s="8" t="s">
        <v>54</v>
      </c>
    </row>
    <row r="309" spans="1:4" x14ac:dyDescent="0.25">
      <c r="A309" s="8" t="s">
        <v>511</v>
      </c>
      <c r="B309" s="8" t="s">
        <v>18</v>
      </c>
      <c r="D309" s="8" t="s">
        <v>54</v>
      </c>
    </row>
    <row r="310" spans="1:4" x14ac:dyDescent="0.25">
      <c r="A310" s="8" t="s">
        <v>512</v>
      </c>
      <c r="B310" s="8" t="s">
        <v>19</v>
      </c>
      <c r="D310" s="8" t="s">
        <v>54</v>
      </c>
    </row>
    <row r="311" spans="1:4" x14ac:dyDescent="0.25">
      <c r="A311" s="8" t="s">
        <v>513</v>
      </c>
      <c r="B311" s="8" t="s">
        <v>20</v>
      </c>
      <c r="D311" s="8" t="s">
        <v>54</v>
      </c>
    </row>
    <row r="312" spans="1:4" x14ac:dyDescent="0.25">
      <c r="A312" s="8" t="s">
        <v>514</v>
      </c>
      <c r="B312" s="8" t="s">
        <v>21</v>
      </c>
      <c r="D312" s="8" t="s">
        <v>54</v>
      </c>
    </row>
    <row r="313" spans="1:4" x14ac:dyDescent="0.25">
      <c r="A313" s="8" t="s">
        <v>515</v>
      </c>
      <c r="B313" s="8" t="s">
        <v>22</v>
      </c>
      <c r="C313" s="8" t="s">
        <v>516</v>
      </c>
      <c r="D313" s="8" t="s">
        <v>54</v>
      </c>
    </row>
    <row r="314" spans="1:4" x14ac:dyDescent="0.25">
      <c r="A314" s="8" t="s">
        <v>517</v>
      </c>
      <c r="B314" s="8" t="s">
        <v>518</v>
      </c>
      <c r="D314" s="8" t="s">
        <v>54</v>
      </c>
    </row>
    <row r="315" spans="1:4" x14ac:dyDescent="0.25">
      <c r="A315" s="8" t="s">
        <v>519</v>
      </c>
      <c r="B315" s="8" t="s">
        <v>520</v>
      </c>
      <c r="D315" s="8" t="s">
        <v>54</v>
      </c>
    </row>
    <row r="316" spans="1:4" x14ac:dyDescent="0.25">
      <c r="A316" s="8" t="s">
        <v>521</v>
      </c>
      <c r="B316" s="8" t="s">
        <v>522</v>
      </c>
      <c r="D316" s="8" t="s">
        <v>54</v>
      </c>
    </row>
    <row r="317" spans="1:4" x14ac:dyDescent="0.25">
      <c r="A317" s="8" t="s">
        <v>523</v>
      </c>
      <c r="B317" s="8" t="s">
        <v>524</v>
      </c>
      <c r="D317" s="8" t="s">
        <v>54</v>
      </c>
    </row>
    <row r="318" spans="1:4" ht="30" x14ac:dyDescent="0.25">
      <c r="A318" s="8" t="s">
        <v>525</v>
      </c>
      <c r="B318" s="8" t="s">
        <v>23</v>
      </c>
      <c r="C318" s="8" t="s">
        <v>526</v>
      </c>
      <c r="D318" s="8" t="s">
        <v>54</v>
      </c>
    </row>
    <row r="319" spans="1:4" x14ac:dyDescent="0.25">
      <c r="A319" s="8" t="s">
        <v>527</v>
      </c>
      <c r="B319" s="8" t="s">
        <v>528</v>
      </c>
      <c r="D319" s="8" t="s">
        <v>54</v>
      </c>
    </row>
    <row r="320" spans="1:4" x14ac:dyDescent="0.25">
      <c r="A320" s="8" t="s">
        <v>346</v>
      </c>
      <c r="B320" s="8" t="s">
        <v>347</v>
      </c>
      <c r="D320" s="8" t="s">
        <v>54</v>
      </c>
    </row>
    <row r="321" spans="1:4" x14ac:dyDescent="0.25">
      <c r="A321" s="8" t="s">
        <v>529</v>
      </c>
      <c r="B321" s="8" t="s">
        <v>530</v>
      </c>
      <c r="D321" s="8" t="s">
        <v>54</v>
      </c>
    </row>
    <row r="322" spans="1:4" x14ac:dyDescent="0.25">
      <c r="A322" s="8" t="s">
        <v>352</v>
      </c>
      <c r="B322" s="8" t="s">
        <v>353</v>
      </c>
      <c r="D322" s="8" t="s">
        <v>54</v>
      </c>
    </row>
    <row r="323" spans="1:4" x14ac:dyDescent="0.25">
      <c r="A323" s="8" t="s">
        <v>354</v>
      </c>
      <c r="B323" s="8" t="s">
        <v>355</v>
      </c>
      <c r="D323" s="8" t="s">
        <v>54</v>
      </c>
    </row>
    <row r="324" spans="1:4" x14ac:dyDescent="0.25">
      <c r="A324" s="8" t="s">
        <v>233</v>
      </c>
      <c r="B324" s="8" t="s">
        <v>234</v>
      </c>
      <c r="D324" s="8" t="s">
        <v>54</v>
      </c>
    </row>
    <row r="325" spans="1:4" x14ac:dyDescent="0.25">
      <c r="A325" s="8" t="s">
        <v>531</v>
      </c>
      <c r="B325" s="8" t="s">
        <v>532</v>
      </c>
      <c r="D325" s="8" t="s">
        <v>54</v>
      </c>
    </row>
    <row r="326" spans="1:4" x14ac:dyDescent="0.25">
      <c r="A326" s="8" t="s">
        <v>533</v>
      </c>
      <c r="B326" s="8" t="s">
        <v>534</v>
      </c>
      <c r="D326" s="8" t="s">
        <v>54</v>
      </c>
    </row>
    <row r="327" spans="1:4" x14ac:dyDescent="0.25">
      <c r="A327" s="8" t="s">
        <v>535</v>
      </c>
      <c r="B327" s="8" t="s">
        <v>536</v>
      </c>
      <c r="D327" s="8" t="s">
        <v>54</v>
      </c>
    </row>
    <row r="328" spans="1:4" x14ac:dyDescent="0.25">
      <c r="A328" s="8" t="s">
        <v>537</v>
      </c>
      <c r="B328" s="8" t="s">
        <v>538</v>
      </c>
      <c r="D328" s="8" t="s">
        <v>54</v>
      </c>
    </row>
    <row r="329" spans="1:4" x14ac:dyDescent="0.25">
      <c r="A329" s="8" t="s">
        <v>539</v>
      </c>
      <c r="B329" s="8" t="s">
        <v>540</v>
      </c>
      <c r="D329" s="8" t="s">
        <v>54</v>
      </c>
    </row>
    <row r="330" spans="1:4" x14ac:dyDescent="0.25">
      <c r="A330" s="8" t="s">
        <v>356</v>
      </c>
      <c r="B330" s="8" t="s">
        <v>357</v>
      </c>
      <c r="D330" s="8" t="s">
        <v>54</v>
      </c>
    </row>
    <row r="331" spans="1:4" ht="30" x14ac:dyDescent="0.25">
      <c r="A331" s="8" t="s">
        <v>541</v>
      </c>
      <c r="B331" s="8" t="s">
        <v>24</v>
      </c>
      <c r="C331" s="8" t="s">
        <v>542</v>
      </c>
      <c r="D331" s="8" t="s">
        <v>54</v>
      </c>
    </row>
    <row r="332" spans="1:4" x14ac:dyDescent="0.25">
      <c r="A332" s="8" t="s">
        <v>346</v>
      </c>
      <c r="B332" s="8" t="s">
        <v>347</v>
      </c>
      <c r="D332" s="8" t="s">
        <v>54</v>
      </c>
    </row>
    <row r="333" spans="1:4" x14ac:dyDescent="0.25">
      <c r="A333" s="8" t="s">
        <v>352</v>
      </c>
      <c r="B333" s="8" t="s">
        <v>353</v>
      </c>
      <c r="D333" s="8" t="s">
        <v>54</v>
      </c>
    </row>
    <row r="334" spans="1:4" x14ac:dyDescent="0.25">
      <c r="A334" s="8" t="s">
        <v>354</v>
      </c>
      <c r="B334" s="8" t="s">
        <v>355</v>
      </c>
      <c r="D334" s="8" t="s">
        <v>54</v>
      </c>
    </row>
    <row r="335" spans="1:4" x14ac:dyDescent="0.25">
      <c r="A335" s="8" t="s">
        <v>543</v>
      </c>
      <c r="B335" s="8" t="s">
        <v>544</v>
      </c>
      <c r="D335" s="8" t="s">
        <v>54</v>
      </c>
    </row>
    <row r="336" spans="1:4" x14ac:dyDescent="0.25">
      <c r="A336" s="8" t="s">
        <v>233</v>
      </c>
      <c r="B336" s="8" t="s">
        <v>234</v>
      </c>
      <c r="D336" s="8" t="s">
        <v>54</v>
      </c>
    </row>
    <row r="337" spans="1:4" x14ac:dyDescent="0.25">
      <c r="A337" s="8" t="s">
        <v>531</v>
      </c>
      <c r="B337" s="8" t="s">
        <v>532</v>
      </c>
      <c r="D337" s="8" t="s">
        <v>54</v>
      </c>
    </row>
    <row r="338" spans="1:4" x14ac:dyDescent="0.25">
      <c r="A338" s="8" t="s">
        <v>535</v>
      </c>
      <c r="B338" s="8" t="s">
        <v>536</v>
      </c>
      <c r="D338" s="8" t="s">
        <v>54</v>
      </c>
    </row>
    <row r="339" spans="1:4" x14ac:dyDescent="0.25">
      <c r="A339" s="8" t="s">
        <v>537</v>
      </c>
      <c r="B339" s="8" t="s">
        <v>538</v>
      </c>
      <c r="D339" s="8" t="s">
        <v>54</v>
      </c>
    </row>
    <row r="340" spans="1:4" x14ac:dyDescent="0.25">
      <c r="A340" s="8" t="s">
        <v>356</v>
      </c>
      <c r="B340" s="8" t="s">
        <v>357</v>
      </c>
      <c r="D340" s="8" t="s">
        <v>54</v>
      </c>
    </row>
    <row r="341" spans="1:4" x14ac:dyDescent="0.25">
      <c r="A341" s="8" t="s">
        <v>545</v>
      </c>
      <c r="B341" s="8" t="s">
        <v>546</v>
      </c>
      <c r="D341" s="8" t="s">
        <v>54</v>
      </c>
    </row>
    <row r="342" spans="1:4" x14ac:dyDescent="0.25">
      <c r="A342" s="8" t="s">
        <v>547</v>
      </c>
      <c r="B342" s="8" t="s">
        <v>25</v>
      </c>
      <c r="C342" s="8" t="s">
        <v>548</v>
      </c>
      <c r="D342" s="8" t="s">
        <v>54</v>
      </c>
    </row>
    <row r="343" spans="1:4" x14ac:dyDescent="0.25">
      <c r="A343" s="8" t="s">
        <v>549</v>
      </c>
      <c r="B343" s="8" t="s">
        <v>550</v>
      </c>
      <c r="D343" s="8" t="s">
        <v>54</v>
      </c>
    </row>
    <row r="344" spans="1:4" x14ac:dyDescent="0.25">
      <c r="A344" s="8" t="s">
        <v>551</v>
      </c>
      <c r="B344" s="8" t="s">
        <v>552</v>
      </c>
      <c r="D344" s="8" t="s">
        <v>54</v>
      </c>
    </row>
    <row r="345" spans="1:4" x14ac:dyDescent="0.25">
      <c r="A345" s="8" t="s">
        <v>553</v>
      </c>
      <c r="B345" s="8" t="s">
        <v>26</v>
      </c>
      <c r="C345" s="8" t="s">
        <v>554</v>
      </c>
      <c r="D345" s="8" t="s">
        <v>54</v>
      </c>
    </row>
    <row r="346" spans="1:4" x14ac:dyDescent="0.25">
      <c r="A346" s="8" t="s">
        <v>555</v>
      </c>
      <c r="B346" s="8" t="s">
        <v>556</v>
      </c>
      <c r="D346" s="8" t="s">
        <v>54</v>
      </c>
    </row>
    <row r="347" spans="1:4" x14ac:dyDescent="0.25">
      <c r="A347" s="8" t="s">
        <v>557</v>
      </c>
      <c r="B347" s="8" t="s">
        <v>558</v>
      </c>
      <c r="D347" s="8" t="s">
        <v>54</v>
      </c>
    </row>
    <row r="348" spans="1:4" x14ac:dyDescent="0.25">
      <c r="A348" s="8" t="s">
        <v>559</v>
      </c>
      <c r="B348" s="8" t="s">
        <v>27</v>
      </c>
      <c r="C348" s="8" t="s">
        <v>560</v>
      </c>
      <c r="D348" s="8" t="s">
        <v>54</v>
      </c>
    </row>
    <row r="349" spans="1:4" x14ac:dyDescent="0.25">
      <c r="A349" s="8" t="s">
        <v>561</v>
      </c>
      <c r="B349" s="8" t="s">
        <v>562</v>
      </c>
      <c r="D349" s="8" t="s">
        <v>54</v>
      </c>
    </row>
    <row r="350" spans="1:4" x14ac:dyDescent="0.25">
      <c r="A350" s="8" t="s">
        <v>563</v>
      </c>
      <c r="B350" s="8" t="s">
        <v>564</v>
      </c>
      <c r="D350" s="8" t="s">
        <v>54</v>
      </c>
    </row>
    <row r="351" spans="1:4" ht="180" x14ac:dyDescent="0.25">
      <c r="A351" s="8" t="s">
        <v>565</v>
      </c>
      <c r="B351" s="8" t="s">
        <v>28</v>
      </c>
      <c r="C351" s="8" t="s">
        <v>566</v>
      </c>
      <c r="D351" s="8" t="s">
        <v>54</v>
      </c>
    </row>
    <row r="352" spans="1:4" ht="30" x14ac:dyDescent="0.25">
      <c r="A352" s="8" t="s">
        <v>567</v>
      </c>
      <c r="B352" s="8" t="s">
        <v>568</v>
      </c>
      <c r="D352" s="8" t="s">
        <v>54</v>
      </c>
    </row>
    <row r="353" spans="1:4" ht="30" x14ac:dyDescent="0.25">
      <c r="A353" s="8" t="s">
        <v>569</v>
      </c>
      <c r="B353" s="8" t="s">
        <v>570</v>
      </c>
      <c r="D353" s="8" t="s">
        <v>54</v>
      </c>
    </row>
    <row r="354" spans="1:4" ht="30" x14ac:dyDescent="0.25">
      <c r="A354" s="8" t="s">
        <v>571</v>
      </c>
      <c r="B354" s="8" t="s">
        <v>572</v>
      </c>
      <c r="D354" s="8" t="s">
        <v>54</v>
      </c>
    </row>
    <row r="355" spans="1:4" ht="30" x14ac:dyDescent="0.25">
      <c r="A355" s="8" t="s">
        <v>573</v>
      </c>
      <c r="B355" s="8" t="s">
        <v>574</v>
      </c>
      <c r="D355" s="8" t="s">
        <v>54</v>
      </c>
    </row>
    <row r="356" spans="1:4" ht="30" x14ac:dyDescent="0.25">
      <c r="A356" s="8" t="s">
        <v>575</v>
      </c>
      <c r="B356" s="8" t="s">
        <v>576</v>
      </c>
      <c r="D356" s="8" t="s">
        <v>54</v>
      </c>
    </row>
    <row r="357" spans="1:4" ht="30" x14ac:dyDescent="0.25">
      <c r="A357" s="8" t="s">
        <v>577</v>
      </c>
      <c r="B357" s="8" t="s">
        <v>578</v>
      </c>
      <c r="D357" s="8" t="s">
        <v>54</v>
      </c>
    </row>
    <row r="358" spans="1:4" ht="30" x14ac:dyDescent="0.25">
      <c r="A358" s="8" t="s">
        <v>579</v>
      </c>
      <c r="B358" s="8" t="s">
        <v>580</v>
      </c>
      <c r="D358" s="8" t="s">
        <v>54</v>
      </c>
    </row>
    <row r="359" spans="1:4" ht="30" x14ac:dyDescent="0.25">
      <c r="A359" s="8" t="s">
        <v>581</v>
      </c>
      <c r="B359" s="8" t="s">
        <v>582</v>
      </c>
      <c r="D359" s="8" t="s">
        <v>54</v>
      </c>
    </row>
    <row r="360" spans="1:4" ht="30" x14ac:dyDescent="0.25">
      <c r="A360" s="8" t="s">
        <v>583</v>
      </c>
      <c r="B360" s="8" t="s">
        <v>584</v>
      </c>
      <c r="D360" s="8" t="s">
        <v>54</v>
      </c>
    </row>
    <row r="361" spans="1:4" ht="30" x14ac:dyDescent="0.25">
      <c r="A361" s="8" t="s">
        <v>585</v>
      </c>
      <c r="B361" s="8" t="s">
        <v>586</v>
      </c>
      <c r="D361" s="8" t="s">
        <v>54</v>
      </c>
    </row>
    <row r="362" spans="1:4" ht="30" x14ac:dyDescent="0.25">
      <c r="A362" s="8" t="s">
        <v>587</v>
      </c>
      <c r="B362" s="8" t="s">
        <v>588</v>
      </c>
      <c r="D362" s="8" t="s">
        <v>54</v>
      </c>
    </row>
    <row r="363" spans="1:4" ht="30" x14ac:dyDescent="0.25">
      <c r="A363" s="8" t="s">
        <v>589</v>
      </c>
      <c r="B363" s="8" t="s">
        <v>590</v>
      </c>
      <c r="D363" s="8" t="s">
        <v>54</v>
      </c>
    </row>
    <row r="364" spans="1:4" ht="30" x14ac:dyDescent="0.25">
      <c r="A364" s="8" t="s">
        <v>591</v>
      </c>
      <c r="B364" s="8" t="s">
        <v>592</v>
      </c>
      <c r="D364" s="8" t="s">
        <v>54</v>
      </c>
    </row>
    <row r="365" spans="1:4" x14ac:dyDescent="0.25">
      <c r="A365" s="8" t="s">
        <v>593</v>
      </c>
      <c r="B365" s="8" t="s">
        <v>594</v>
      </c>
      <c r="D365" s="8" t="s">
        <v>54</v>
      </c>
    </row>
    <row r="366" spans="1:4" x14ac:dyDescent="0.25">
      <c r="A366" s="8" t="s">
        <v>595</v>
      </c>
      <c r="B366" s="8" t="s">
        <v>596</v>
      </c>
      <c r="D366" s="8" t="s">
        <v>54</v>
      </c>
    </row>
    <row r="367" spans="1:4" x14ac:dyDescent="0.25">
      <c r="A367" s="8" t="s">
        <v>597</v>
      </c>
      <c r="B367" s="8" t="s">
        <v>598</v>
      </c>
      <c r="D367" s="8" t="s">
        <v>54</v>
      </c>
    </row>
    <row r="368" spans="1:4" x14ac:dyDescent="0.25">
      <c r="A368" s="8" t="s">
        <v>599</v>
      </c>
      <c r="B368" s="8" t="s">
        <v>600</v>
      </c>
      <c r="D368" s="8" t="s">
        <v>54</v>
      </c>
    </row>
    <row r="369" spans="1:4" x14ac:dyDescent="0.25">
      <c r="A369" s="8" t="s">
        <v>601</v>
      </c>
      <c r="B369" s="8" t="s">
        <v>602</v>
      </c>
      <c r="D369" s="8" t="s">
        <v>54</v>
      </c>
    </row>
    <row r="370" spans="1:4" x14ac:dyDescent="0.25">
      <c r="A370" s="8" t="s">
        <v>603</v>
      </c>
      <c r="B370" s="8" t="s">
        <v>604</v>
      </c>
      <c r="D370" s="8" t="s">
        <v>54</v>
      </c>
    </row>
    <row r="371" spans="1:4" x14ac:dyDescent="0.25">
      <c r="A371" s="8" t="s">
        <v>605</v>
      </c>
      <c r="B371" s="8" t="s">
        <v>606</v>
      </c>
      <c r="D371" s="8" t="s">
        <v>54</v>
      </c>
    </row>
    <row r="372" spans="1:4" x14ac:dyDescent="0.25">
      <c r="A372" s="8" t="s">
        <v>607</v>
      </c>
      <c r="B372" s="8" t="s">
        <v>608</v>
      </c>
      <c r="D372" s="8" t="s">
        <v>54</v>
      </c>
    </row>
    <row r="373" spans="1:4" x14ac:dyDescent="0.25">
      <c r="A373" s="8" t="s">
        <v>609</v>
      </c>
      <c r="B373" s="8" t="s">
        <v>610</v>
      </c>
      <c r="D373" s="8" t="s">
        <v>54</v>
      </c>
    </row>
    <row r="374" spans="1:4" x14ac:dyDescent="0.25">
      <c r="A374" s="8" t="s">
        <v>611</v>
      </c>
      <c r="B374" s="8" t="s">
        <v>612</v>
      </c>
      <c r="D374" s="8" t="s">
        <v>54</v>
      </c>
    </row>
    <row r="375" spans="1:4" x14ac:dyDescent="0.25">
      <c r="A375" s="8" t="s">
        <v>613</v>
      </c>
      <c r="B375" s="8" t="s">
        <v>614</v>
      </c>
      <c r="D375" s="8" t="s">
        <v>54</v>
      </c>
    </row>
    <row r="376" spans="1:4" x14ac:dyDescent="0.25">
      <c r="A376" s="8" t="s">
        <v>615</v>
      </c>
      <c r="B376" s="8" t="s">
        <v>616</v>
      </c>
      <c r="D376" s="8" t="s">
        <v>54</v>
      </c>
    </row>
    <row r="377" spans="1:4" x14ac:dyDescent="0.25">
      <c r="A377" s="8" t="s">
        <v>617</v>
      </c>
      <c r="B377" s="8" t="s">
        <v>618</v>
      </c>
      <c r="D377" s="8" t="s">
        <v>54</v>
      </c>
    </row>
    <row r="378" spans="1:4" x14ac:dyDescent="0.25">
      <c r="A378" s="8" t="s">
        <v>619</v>
      </c>
      <c r="B378" s="8" t="s">
        <v>620</v>
      </c>
      <c r="D378" s="8" t="s">
        <v>54</v>
      </c>
    </row>
    <row r="379" spans="1:4" x14ac:dyDescent="0.25">
      <c r="A379" s="8" t="s">
        <v>621</v>
      </c>
      <c r="B379" s="8" t="s">
        <v>622</v>
      </c>
      <c r="D379" s="8" t="s">
        <v>54</v>
      </c>
    </row>
    <row r="380" spans="1:4" x14ac:dyDescent="0.25">
      <c r="A380" s="8" t="s">
        <v>623</v>
      </c>
      <c r="B380" s="8" t="s">
        <v>624</v>
      </c>
      <c r="D380" s="8" t="s">
        <v>54</v>
      </c>
    </row>
    <row r="381" spans="1:4" x14ac:dyDescent="0.25">
      <c r="A381" s="8" t="s">
        <v>625</v>
      </c>
      <c r="B381" s="8" t="s">
        <v>626</v>
      </c>
      <c r="D381" s="8" t="s">
        <v>54</v>
      </c>
    </row>
    <row r="382" spans="1:4" x14ac:dyDescent="0.25">
      <c r="A382" s="8" t="s">
        <v>627</v>
      </c>
      <c r="B382" s="8" t="s">
        <v>628</v>
      </c>
      <c r="D382" s="8" t="s">
        <v>54</v>
      </c>
    </row>
    <row r="383" spans="1:4" x14ac:dyDescent="0.25">
      <c r="A383" s="8" t="s">
        <v>629</v>
      </c>
      <c r="B383" s="8" t="s">
        <v>630</v>
      </c>
      <c r="D383" s="8" t="s">
        <v>54</v>
      </c>
    </row>
    <row r="384" spans="1:4" x14ac:dyDescent="0.25">
      <c r="A384" s="8" t="s">
        <v>631</v>
      </c>
      <c r="B384" s="8" t="s">
        <v>632</v>
      </c>
      <c r="D384" s="8" t="s">
        <v>54</v>
      </c>
    </row>
    <row r="385" spans="1:4" x14ac:dyDescent="0.25">
      <c r="A385" s="8" t="s">
        <v>633</v>
      </c>
      <c r="B385" s="8" t="s">
        <v>634</v>
      </c>
      <c r="D385" s="8" t="s">
        <v>54</v>
      </c>
    </row>
    <row r="386" spans="1:4" x14ac:dyDescent="0.25">
      <c r="A386" s="8" t="s">
        <v>635</v>
      </c>
      <c r="B386" s="8" t="s">
        <v>636</v>
      </c>
      <c r="D386" s="8" t="s">
        <v>54</v>
      </c>
    </row>
    <row r="387" spans="1:4" x14ac:dyDescent="0.25">
      <c r="A387" s="8" t="s">
        <v>637</v>
      </c>
      <c r="B387" s="8" t="s">
        <v>638</v>
      </c>
      <c r="D387" s="8" t="s">
        <v>54</v>
      </c>
    </row>
    <row r="388" spans="1:4" x14ac:dyDescent="0.25">
      <c r="A388" s="8" t="s">
        <v>639</v>
      </c>
      <c r="B388" s="8" t="s">
        <v>640</v>
      </c>
      <c r="D388" s="8" t="s">
        <v>54</v>
      </c>
    </row>
    <row r="389" spans="1:4" ht="30" x14ac:dyDescent="0.25">
      <c r="A389" s="8" t="s">
        <v>641</v>
      </c>
      <c r="B389" s="8" t="s">
        <v>642</v>
      </c>
      <c r="D389" s="8" t="s">
        <v>54</v>
      </c>
    </row>
    <row r="390" spans="1:4" x14ac:dyDescent="0.25">
      <c r="A390" s="8" t="s">
        <v>643</v>
      </c>
      <c r="B390" s="8" t="s">
        <v>644</v>
      </c>
      <c r="D390" s="8" t="s">
        <v>54</v>
      </c>
    </row>
    <row r="391" spans="1:4" x14ac:dyDescent="0.25">
      <c r="A391" s="8" t="s">
        <v>645</v>
      </c>
      <c r="B391" s="8" t="s">
        <v>646</v>
      </c>
      <c r="D391" s="8" t="s">
        <v>54</v>
      </c>
    </row>
    <row r="392" spans="1:4" ht="30" x14ac:dyDescent="0.25">
      <c r="A392" s="8" t="s">
        <v>647</v>
      </c>
      <c r="B392" s="8" t="s">
        <v>648</v>
      </c>
      <c r="D392" s="8" t="s">
        <v>54</v>
      </c>
    </row>
    <row r="393" spans="1:4" ht="30" x14ac:dyDescent="0.25">
      <c r="A393" s="8" t="s">
        <v>649</v>
      </c>
      <c r="B393" s="8" t="s">
        <v>650</v>
      </c>
      <c r="D393" s="8" t="s">
        <v>54</v>
      </c>
    </row>
    <row r="394" spans="1:4" ht="30" x14ac:dyDescent="0.25">
      <c r="A394" s="8" t="s">
        <v>651</v>
      </c>
      <c r="B394" s="8" t="s">
        <v>652</v>
      </c>
      <c r="D394" s="8" t="s">
        <v>54</v>
      </c>
    </row>
    <row r="395" spans="1:4" ht="30" x14ac:dyDescent="0.25">
      <c r="A395" s="8" t="s">
        <v>653</v>
      </c>
      <c r="B395" s="8" t="s">
        <v>654</v>
      </c>
      <c r="D395" s="8" t="s">
        <v>54</v>
      </c>
    </row>
    <row r="396" spans="1:4" ht="30" x14ac:dyDescent="0.25">
      <c r="A396" s="8" t="s">
        <v>655</v>
      </c>
      <c r="B396" s="8" t="s">
        <v>656</v>
      </c>
      <c r="D396" s="8" t="s">
        <v>54</v>
      </c>
    </row>
    <row r="397" spans="1:4" x14ac:dyDescent="0.25">
      <c r="A397" s="8" t="s">
        <v>657</v>
      </c>
      <c r="B397" s="8" t="s">
        <v>658</v>
      </c>
      <c r="D397" s="8" t="s">
        <v>54</v>
      </c>
    </row>
    <row r="398" spans="1:4" x14ac:dyDescent="0.25">
      <c r="A398" s="8" t="s">
        <v>659</v>
      </c>
      <c r="B398" s="8" t="s">
        <v>660</v>
      </c>
      <c r="D398" s="8" t="s">
        <v>54</v>
      </c>
    </row>
    <row r="399" spans="1:4" x14ac:dyDescent="0.25">
      <c r="A399" s="8" t="s">
        <v>661</v>
      </c>
      <c r="B399" s="8" t="s">
        <v>662</v>
      </c>
      <c r="D399" s="8" t="s">
        <v>54</v>
      </c>
    </row>
    <row r="400" spans="1:4" ht="30" x14ac:dyDescent="0.25">
      <c r="A400" s="8" t="s">
        <v>663</v>
      </c>
      <c r="B400" s="8" t="s">
        <v>664</v>
      </c>
      <c r="D400" s="8" t="s">
        <v>54</v>
      </c>
    </row>
    <row r="401" spans="1:4" ht="30" x14ac:dyDescent="0.25">
      <c r="A401" s="8" t="s">
        <v>665</v>
      </c>
      <c r="B401" s="8" t="s">
        <v>666</v>
      </c>
      <c r="D401" s="8" t="s">
        <v>54</v>
      </c>
    </row>
    <row r="402" spans="1:4" ht="30" x14ac:dyDescent="0.25">
      <c r="A402" s="8" t="s">
        <v>667</v>
      </c>
      <c r="B402" s="8" t="s">
        <v>668</v>
      </c>
      <c r="D402" s="8" t="s">
        <v>54</v>
      </c>
    </row>
    <row r="403" spans="1:4" ht="30" x14ac:dyDescent="0.25">
      <c r="A403" s="8" t="s">
        <v>669</v>
      </c>
      <c r="B403" s="8" t="s">
        <v>670</v>
      </c>
      <c r="D403" s="8" t="s">
        <v>54</v>
      </c>
    </row>
    <row r="404" spans="1:4" ht="30" x14ac:dyDescent="0.25">
      <c r="A404" s="8" t="s">
        <v>671</v>
      </c>
      <c r="B404" s="8" t="s">
        <v>672</v>
      </c>
      <c r="D404" s="8" t="s">
        <v>54</v>
      </c>
    </row>
    <row r="405" spans="1:4" ht="30" x14ac:dyDescent="0.25">
      <c r="A405" s="8" t="s">
        <v>673</v>
      </c>
      <c r="B405" s="8" t="s">
        <v>674</v>
      </c>
      <c r="D405" s="8" t="s">
        <v>54</v>
      </c>
    </row>
    <row r="406" spans="1:4" x14ac:dyDescent="0.25">
      <c r="A406" s="8" t="s">
        <v>675</v>
      </c>
      <c r="B406" s="8" t="s">
        <v>676</v>
      </c>
      <c r="D406" s="8" t="s">
        <v>54</v>
      </c>
    </row>
    <row r="407" spans="1:4" x14ac:dyDescent="0.25">
      <c r="A407" s="8" t="s">
        <v>677</v>
      </c>
      <c r="B407" s="8" t="s">
        <v>678</v>
      </c>
      <c r="D407" s="8" t="s">
        <v>54</v>
      </c>
    </row>
    <row r="408" spans="1:4" ht="30" x14ac:dyDescent="0.25">
      <c r="A408" s="8" t="s">
        <v>679</v>
      </c>
      <c r="B408" s="8" t="s">
        <v>680</v>
      </c>
      <c r="D408" s="8" t="s">
        <v>54</v>
      </c>
    </row>
    <row r="409" spans="1:4" x14ac:dyDescent="0.25">
      <c r="A409" s="8" t="s">
        <v>681</v>
      </c>
      <c r="B409" s="8" t="s">
        <v>682</v>
      </c>
      <c r="D409" s="8" t="s">
        <v>54</v>
      </c>
    </row>
    <row r="410" spans="1:4" ht="30" x14ac:dyDescent="0.25">
      <c r="A410" s="8" t="s">
        <v>683</v>
      </c>
      <c r="B410" s="8" t="s">
        <v>684</v>
      </c>
      <c r="D410" s="8" t="s">
        <v>54</v>
      </c>
    </row>
    <row r="411" spans="1:4" x14ac:dyDescent="0.25">
      <c r="A411" s="8" t="s">
        <v>685</v>
      </c>
      <c r="B411" s="8" t="s">
        <v>686</v>
      </c>
      <c r="D411" s="8" t="s">
        <v>54</v>
      </c>
    </row>
    <row r="412" spans="1:4" ht="30" x14ac:dyDescent="0.25">
      <c r="A412" s="8" t="s">
        <v>687</v>
      </c>
      <c r="B412" s="8" t="s">
        <v>688</v>
      </c>
      <c r="D412" s="8" t="s">
        <v>54</v>
      </c>
    </row>
    <row r="413" spans="1:4" x14ac:dyDescent="0.25">
      <c r="A413" s="8" t="s">
        <v>689</v>
      </c>
      <c r="B413" s="8" t="s">
        <v>690</v>
      </c>
      <c r="D413" s="8" t="s">
        <v>54</v>
      </c>
    </row>
    <row r="414" spans="1:4" ht="30" x14ac:dyDescent="0.25">
      <c r="A414" s="8" t="s">
        <v>691</v>
      </c>
      <c r="B414" s="8" t="s">
        <v>692</v>
      </c>
      <c r="D414" s="8" t="s">
        <v>54</v>
      </c>
    </row>
    <row r="415" spans="1:4" x14ac:dyDescent="0.25">
      <c r="A415" s="8" t="s">
        <v>693</v>
      </c>
      <c r="B415" s="8" t="s">
        <v>694</v>
      </c>
      <c r="D415" s="8" t="s">
        <v>54</v>
      </c>
    </row>
    <row r="416" spans="1:4" x14ac:dyDescent="0.25">
      <c r="A416" s="8" t="s">
        <v>695</v>
      </c>
      <c r="B416" s="8" t="s">
        <v>696</v>
      </c>
      <c r="D416" s="8" t="s">
        <v>54</v>
      </c>
    </row>
    <row r="417" spans="1:4" x14ac:dyDescent="0.25">
      <c r="A417" s="8" t="s">
        <v>697</v>
      </c>
      <c r="B417" s="8" t="s">
        <v>698</v>
      </c>
      <c r="D417" s="8" t="s">
        <v>54</v>
      </c>
    </row>
    <row r="418" spans="1:4" x14ac:dyDescent="0.25">
      <c r="A418" s="8" t="s">
        <v>699</v>
      </c>
      <c r="B418" s="8" t="s">
        <v>700</v>
      </c>
      <c r="D418" s="8" t="s">
        <v>54</v>
      </c>
    </row>
    <row r="419" spans="1:4" x14ac:dyDescent="0.25">
      <c r="A419" s="8" t="s">
        <v>701</v>
      </c>
      <c r="B419" s="8" t="s">
        <v>702</v>
      </c>
      <c r="D419" s="8" t="s">
        <v>54</v>
      </c>
    </row>
    <row r="420" spans="1:4" ht="30" x14ac:dyDescent="0.25">
      <c r="A420" s="8" t="s">
        <v>703</v>
      </c>
      <c r="B420" s="8" t="s">
        <v>704</v>
      </c>
      <c r="D420" s="8" t="s">
        <v>54</v>
      </c>
    </row>
    <row r="421" spans="1:4" ht="30" x14ac:dyDescent="0.25">
      <c r="A421" s="8" t="s">
        <v>705</v>
      </c>
      <c r="B421" s="8" t="s">
        <v>706</v>
      </c>
      <c r="D421" s="8" t="s">
        <v>54</v>
      </c>
    </row>
    <row r="422" spans="1:4" ht="30" x14ac:dyDescent="0.25">
      <c r="A422" s="8" t="s">
        <v>707</v>
      </c>
      <c r="B422" s="8" t="s">
        <v>708</v>
      </c>
      <c r="D422" s="8" t="s">
        <v>54</v>
      </c>
    </row>
    <row r="423" spans="1:4" ht="30" x14ac:dyDescent="0.25">
      <c r="A423" s="8" t="s">
        <v>709</v>
      </c>
      <c r="B423" s="8" t="s">
        <v>710</v>
      </c>
      <c r="D423" s="8" t="s">
        <v>54</v>
      </c>
    </row>
    <row r="424" spans="1:4" ht="30" x14ac:dyDescent="0.25">
      <c r="A424" s="8" t="s">
        <v>711</v>
      </c>
      <c r="B424" s="8" t="s">
        <v>712</v>
      </c>
      <c r="D424" s="8" t="s">
        <v>54</v>
      </c>
    </row>
    <row r="425" spans="1:4" ht="30" x14ac:dyDescent="0.25">
      <c r="A425" s="8" t="s">
        <v>713</v>
      </c>
      <c r="B425" s="8" t="s">
        <v>714</v>
      </c>
      <c r="D425" s="8" t="s">
        <v>54</v>
      </c>
    </row>
    <row r="426" spans="1:4" x14ac:dyDescent="0.25">
      <c r="A426" s="8" t="s">
        <v>715</v>
      </c>
      <c r="B426" s="8" t="s">
        <v>716</v>
      </c>
      <c r="D426" s="8" t="s">
        <v>54</v>
      </c>
    </row>
    <row r="427" spans="1:4" ht="30" x14ac:dyDescent="0.25">
      <c r="A427" s="8" t="s">
        <v>717</v>
      </c>
      <c r="B427" s="8" t="s">
        <v>718</v>
      </c>
      <c r="D427" s="8" t="s">
        <v>54</v>
      </c>
    </row>
    <row r="428" spans="1:4" x14ac:dyDescent="0.25">
      <c r="A428" s="8" t="s">
        <v>719</v>
      </c>
      <c r="B428" s="8" t="s">
        <v>720</v>
      </c>
      <c r="D428" s="8" t="s">
        <v>54</v>
      </c>
    </row>
    <row r="429" spans="1:4" ht="30" x14ac:dyDescent="0.25">
      <c r="A429" s="8" t="s">
        <v>721</v>
      </c>
      <c r="B429" s="8" t="s">
        <v>722</v>
      </c>
      <c r="D429" s="8" t="s">
        <v>54</v>
      </c>
    </row>
    <row r="430" spans="1:4" x14ac:dyDescent="0.25">
      <c r="A430" s="8" t="s">
        <v>723</v>
      </c>
      <c r="B430" s="8" t="s">
        <v>724</v>
      </c>
      <c r="D430" s="8" t="s">
        <v>54</v>
      </c>
    </row>
    <row r="431" spans="1:4" ht="30" x14ac:dyDescent="0.25">
      <c r="A431" s="8" t="s">
        <v>725</v>
      </c>
      <c r="B431" s="8" t="s">
        <v>726</v>
      </c>
      <c r="D431" s="8" t="s">
        <v>54</v>
      </c>
    </row>
    <row r="432" spans="1:4" x14ac:dyDescent="0.25">
      <c r="A432" s="8" t="s">
        <v>727</v>
      </c>
      <c r="B432" s="8" t="s">
        <v>728</v>
      </c>
      <c r="D432" s="8" t="s">
        <v>54</v>
      </c>
    </row>
    <row r="433" spans="1:4" ht="30" x14ac:dyDescent="0.25">
      <c r="A433" s="8" t="s">
        <v>729</v>
      </c>
      <c r="B433" s="8" t="s">
        <v>730</v>
      </c>
      <c r="D433" s="8" t="s">
        <v>54</v>
      </c>
    </row>
    <row r="434" spans="1:4" x14ac:dyDescent="0.25">
      <c r="A434" s="8" t="s">
        <v>731</v>
      </c>
      <c r="B434" s="8" t="s">
        <v>732</v>
      </c>
      <c r="D434" s="8" t="s">
        <v>54</v>
      </c>
    </row>
    <row r="435" spans="1:4" x14ac:dyDescent="0.25">
      <c r="A435" s="8" t="s">
        <v>733</v>
      </c>
      <c r="B435" s="8" t="s">
        <v>734</v>
      </c>
      <c r="D435" s="8" t="s">
        <v>54</v>
      </c>
    </row>
    <row r="436" spans="1:4" x14ac:dyDescent="0.25">
      <c r="A436" s="8" t="s">
        <v>735</v>
      </c>
      <c r="B436" s="8" t="s">
        <v>736</v>
      </c>
      <c r="D436" s="8" t="s">
        <v>54</v>
      </c>
    </row>
    <row r="437" spans="1:4" x14ac:dyDescent="0.25">
      <c r="A437" s="8" t="s">
        <v>737</v>
      </c>
      <c r="B437" s="8" t="s">
        <v>738</v>
      </c>
      <c r="D437" s="8" t="s">
        <v>54</v>
      </c>
    </row>
    <row r="438" spans="1:4" x14ac:dyDescent="0.25">
      <c r="A438" s="8" t="s">
        <v>739</v>
      </c>
      <c r="B438" s="8" t="s">
        <v>740</v>
      </c>
      <c r="D438" s="8" t="s">
        <v>54</v>
      </c>
    </row>
    <row r="439" spans="1:4" x14ac:dyDescent="0.25">
      <c r="A439" s="8" t="s">
        <v>741</v>
      </c>
      <c r="B439" s="8" t="s">
        <v>742</v>
      </c>
      <c r="D439" s="8" t="s">
        <v>54</v>
      </c>
    </row>
    <row r="440" spans="1:4" ht="30" x14ac:dyDescent="0.25">
      <c r="A440" s="8" t="s">
        <v>743</v>
      </c>
      <c r="B440" s="8" t="s">
        <v>744</v>
      </c>
      <c r="D440" s="8" t="s">
        <v>54</v>
      </c>
    </row>
    <row r="441" spans="1:4" ht="30" x14ac:dyDescent="0.25">
      <c r="A441" s="8" t="s">
        <v>745</v>
      </c>
      <c r="B441" s="8" t="s">
        <v>746</v>
      </c>
      <c r="D441" s="8" t="s">
        <v>54</v>
      </c>
    </row>
    <row r="442" spans="1:4" ht="30" x14ac:dyDescent="0.25">
      <c r="A442" s="8" t="s">
        <v>747</v>
      </c>
      <c r="B442" s="8" t="s">
        <v>748</v>
      </c>
      <c r="D442" s="8" t="s">
        <v>54</v>
      </c>
    </row>
    <row r="443" spans="1:4" ht="30" x14ac:dyDescent="0.25">
      <c r="A443" s="8" t="s">
        <v>749</v>
      </c>
      <c r="B443" s="8" t="s">
        <v>750</v>
      </c>
      <c r="D443" s="8" t="s">
        <v>54</v>
      </c>
    </row>
    <row r="444" spans="1:4" ht="30" x14ac:dyDescent="0.25">
      <c r="A444" s="8" t="s">
        <v>751</v>
      </c>
      <c r="B444" s="8" t="s">
        <v>752</v>
      </c>
      <c r="D444" s="8" t="s">
        <v>54</v>
      </c>
    </row>
    <row r="445" spans="1:4" ht="30" x14ac:dyDescent="0.25">
      <c r="A445" s="8" t="s">
        <v>753</v>
      </c>
      <c r="B445" s="8" t="s">
        <v>754</v>
      </c>
      <c r="D445" s="8" t="s">
        <v>54</v>
      </c>
    </row>
    <row r="446" spans="1:4" ht="30" x14ac:dyDescent="0.25">
      <c r="A446" s="8" t="s">
        <v>755</v>
      </c>
      <c r="B446" s="8" t="s">
        <v>756</v>
      </c>
      <c r="D446" s="8" t="s">
        <v>54</v>
      </c>
    </row>
    <row r="447" spans="1:4" ht="30" x14ac:dyDescent="0.25">
      <c r="A447" s="8" t="s">
        <v>757</v>
      </c>
      <c r="B447" s="8" t="s">
        <v>758</v>
      </c>
      <c r="D447" s="8" t="s">
        <v>54</v>
      </c>
    </row>
    <row r="448" spans="1:4" ht="30" x14ac:dyDescent="0.25">
      <c r="A448" s="8" t="s">
        <v>759</v>
      </c>
      <c r="B448" s="8" t="s">
        <v>760</v>
      </c>
      <c r="D448" s="8" t="s">
        <v>54</v>
      </c>
    </row>
    <row r="449" spans="1:4" ht="30" x14ac:dyDescent="0.25">
      <c r="A449" s="8" t="s">
        <v>761</v>
      </c>
      <c r="B449" s="8" t="s">
        <v>762</v>
      </c>
      <c r="D449" s="8" t="s">
        <v>54</v>
      </c>
    </row>
    <row r="450" spans="1:4" ht="60" x14ac:dyDescent="0.25">
      <c r="A450" s="8" t="s">
        <v>763</v>
      </c>
      <c r="B450" s="8" t="s">
        <v>29</v>
      </c>
      <c r="C450" s="8" t="s">
        <v>764</v>
      </c>
      <c r="D450" s="8" t="s">
        <v>54</v>
      </c>
    </row>
    <row r="451" spans="1:4" x14ac:dyDescent="0.25">
      <c r="A451" s="8" t="s">
        <v>765</v>
      </c>
      <c r="B451" s="8" t="s">
        <v>766</v>
      </c>
      <c r="D451" s="8" t="s">
        <v>54</v>
      </c>
    </row>
    <row r="452" spans="1:4" x14ac:dyDescent="0.25">
      <c r="A452" s="8" t="s">
        <v>767</v>
      </c>
      <c r="B452" s="8" t="s">
        <v>768</v>
      </c>
      <c r="D452" s="8" t="s">
        <v>54</v>
      </c>
    </row>
    <row r="453" spans="1:4" ht="30" x14ac:dyDescent="0.25">
      <c r="A453" s="8" t="s">
        <v>769</v>
      </c>
      <c r="B453" s="8" t="s">
        <v>770</v>
      </c>
      <c r="D453" s="8" t="s">
        <v>54</v>
      </c>
    </row>
    <row r="454" spans="1:4" ht="30" x14ac:dyDescent="0.25">
      <c r="A454" s="8" t="s">
        <v>771</v>
      </c>
      <c r="B454" s="8" t="s">
        <v>772</v>
      </c>
      <c r="D454" s="8" t="s">
        <v>54</v>
      </c>
    </row>
    <row r="455" spans="1:4" ht="30" x14ac:dyDescent="0.25">
      <c r="A455" s="8" t="s">
        <v>773</v>
      </c>
      <c r="B455" s="8" t="s">
        <v>774</v>
      </c>
      <c r="D455" s="8" t="s">
        <v>54</v>
      </c>
    </row>
    <row r="456" spans="1:4" ht="30" x14ac:dyDescent="0.25">
      <c r="A456" s="8" t="s">
        <v>775</v>
      </c>
      <c r="B456" s="8" t="s">
        <v>776</v>
      </c>
      <c r="D456" s="8" t="s">
        <v>54</v>
      </c>
    </row>
    <row r="457" spans="1:4" ht="30" x14ac:dyDescent="0.25">
      <c r="A457" s="8" t="s">
        <v>777</v>
      </c>
      <c r="B457" s="8" t="s">
        <v>778</v>
      </c>
      <c r="D457" s="8" t="s">
        <v>54</v>
      </c>
    </row>
    <row r="458" spans="1:4" x14ac:dyDescent="0.25">
      <c r="A458" s="8" t="s">
        <v>779</v>
      </c>
      <c r="B458" s="8" t="s">
        <v>780</v>
      </c>
      <c r="D458" s="8" t="s">
        <v>54</v>
      </c>
    </row>
    <row r="459" spans="1:4" x14ac:dyDescent="0.25">
      <c r="A459" s="8" t="s">
        <v>781</v>
      </c>
      <c r="B459" s="8" t="s">
        <v>30</v>
      </c>
      <c r="C459" s="8" t="s">
        <v>782</v>
      </c>
      <c r="D459" s="8" t="s">
        <v>54</v>
      </c>
    </row>
    <row r="460" spans="1:4" x14ac:dyDescent="0.25">
      <c r="A460" s="8" t="s">
        <v>783</v>
      </c>
      <c r="B460" s="8" t="s">
        <v>784</v>
      </c>
      <c r="D460" s="8" t="s">
        <v>54</v>
      </c>
    </row>
    <row r="461" spans="1:4" x14ac:dyDescent="0.25">
      <c r="A461" s="8" t="s">
        <v>785</v>
      </c>
      <c r="B461" s="8" t="s">
        <v>786</v>
      </c>
      <c r="D461" s="8" t="s">
        <v>54</v>
      </c>
    </row>
    <row r="462" spans="1:4" ht="60" x14ac:dyDescent="0.25">
      <c r="A462" s="8" t="s">
        <v>787</v>
      </c>
      <c r="B462" s="8" t="s">
        <v>31</v>
      </c>
      <c r="C462" s="8" t="s">
        <v>788</v>
      </c>
      <c r="D462" s="8" t="s">
        <v>54</v>
      </c>
    </row>
    <row r="463" spans="1:4" x14ac:dyDescent="0.25">
      <c r="A463" s="8" t="s">
        <v>789</v>
      </c>
      <c r="B463" s="8" t="s">
        <v>790</v>
      </c>
      <c r="D463" s="8" t="s">
        <v>54</v>
      </c>
    </row>
    <row r="464" spans="1:4" x14ac:dyDescent="0.25">
      <c r="A464" s="8" t="s">
        <v>791</v>
      </c>
      <c r="B464" s="8" t="s">
        <v>792</v>
      </c>
      <c r="D464" s="8" t="s">
        <v>54</v>
      </c>
    </row>
    <row r="465" spans="1:4" x14ac:dyDescent="0.25">
      <c r="A465" s="8" t="s">
        <v>793</v>
      </c>
      <c r="B465" s="8" t="s">
        <v>794</v>
      </c>
      <c r="D465" s="8" t="s">
        <v>54</v>
      </c>
    </row>
    <row r="466" spans="1:4" x14ac:dyDescent="0.25">
      <c r="A466" s="8" t="s">
        <v>795</v>
      </c>
      <c r="B466" s="8" t="s">
        <v>796</v>
      </c>
      <c r="D466" s="8" t="s">
        <v>54</v>
      </c>
    </row>
    <row r="467" spans="1:4" x14ac:dyDescent="0.25">
      <c r="A467" s="8" t="s">
        <v>797</v>
      </c>
      <c r="B467" s="8" t="s">
        <v>798</v>
      </c>
      <c r="D467" s="8" t="s">
        <v>54</v>
      </c>
    </row>
    <row r="468" spans="1:4" x14ac:dyDescent="0.25">
      <c r="A468" s="8" t="s">
        <v>799</v>
      </c>
      <c r="B468" s="8" t="s">
        <v>800</v>
      </c>
      <c r="D468" s="8" t="s">
        <v>54</v>
      </c>
    </row>
    <row r="469" spans="1:4" x14ac:dyDescent="0.25">
      <c r="A469" s="8" t="s">
        <v>801</v>
      </c>
      <c r="B469" s="8" t="s">
        <v>802</v>
      </c>
      <c r="D469" s="8" t="s">
        <v>54</v>
      </c>
    </row>
    <row r="470" spans="1:4" x14ac:dyDescent="0.25">
      <c r="A470" s="8" t="s">
        <v>803</v>
      </c>
      <c r="B470" s="8" t="s">
        <v>804</v>
      </c>
      <c r="D470" s="8" t="s">
        <v>54</v>
      </c>
    </row>
    <row r="471" spans="1:4" x14ac:dyDescent="0.25">
      <c r="A471" s="8" t="s">
        <v>805</v>
      </c>
      <c r="B471" s="8" t="s">
        <v>806</v>
      </c>
      <c r="D471" s="8" t="s">
        <v>54</v>
      </c>
    </row>
    <row r="472" spans="1:4" x14ac:dyDescent="0.25">
      <c r="A472" s="8" t="s">
        <v>807</v>
      </c>
      <c r="B472" s="8" t="s">
        <v>808</v>
      </c>
      <c r="D472" s="8" t="s">
        <v>54</v>
      </c>
    </row>
    <row r="473" spans="1:4" x14ac:dyDescent="0.25">
      <c r="A473" s="8" t="s">
        <v>809</v>
      </c>
      <c r="B473" s="8" t="s">
        <v>810</v>
      </c>
      <c r="D473" s="8" t="s">
        <v>54</v>
      </c>
    </row>
    <row r="474" spans="1:4" x14ac:dyDescent="0.25">
      <c r="A474" s="8" t="s">
        <v>811</v>
      </c>
      <c r="B474" s="8" t="s">
        <v>812</v>
      </c>
      <c r="D474" s="8" t="s">
        <v>54</v>
      </c>
    </row>
    <row r="475" spans="1:4" x14ac:dyDescent="0.25">
      <c r="A475" s="8" t="s">
        <v>813</v>
      </c>
      <c r="B475" s="8" t="s">
        <v>814</v>
      </c>
      <c r="D475" s="8" t="s">
        <v>54</v>
      </c>
    </row>
    <row r="476" spans="1:4" x14ac:dyDescent="0.25">
      <c r="A476" s="8" t="s">
        <v>815</v>
      </c>
      <c r="B476" s="8" t="s">
        <v>816</v>
      </c>
      <c r="D476" s="8" t="s">
        <v>54</v>
      </c>
    </row>
    <row r="477" spans="1:4" x14ac:dyDescent="0.25">
      <c r="A477" s="8" t="s">
        <v>817</v>
      </c>
      <c r="B477" s="8" t="s">
        <v>818</v>
      </c>
      <c r="D477" s="8" t="s">
        <v>54</v>
      </c>
    </row>
    <row r="478" spans="1:4" x14ac:dyDescent="0.25">
      <c r="A478" s="8" t="s">
        <v>819</v>
      </c>
      <c r="B478" s="8" t="s">
        <v>820</v>
      </c>
      <c r="D478" s="8" t="s">
        <v>54</v>
      </c>
    </row>
    <row r="479" spans="1:4" x14ac:dyDescent="0.25">
      <c r="A479" s="8" t="s">
        <v>821</v>
      </c>
      <c r="B479" s="8" t="s">
        <v>822</v>
      </c>
      <c r="D479" s="8" t="s">
        <v>54</v>
      </c>
    </row>
    <row r="480" spans="1:4" x14ac:dyDescent="0.25">
      <c r="A480" s="8" t="s">
        <v>823</v>
      </c>
      <c r="B480" s="8" t="s">
        <v>824</v>
      </c>
      <c r="D480" s="8" t="s">
        <v>54</v>
      </c>
    </row>
    <row r="481" spans="1:4" x14ac:dyDescent="0.25">
      <c r="A481" s="8" t="s">
        <v>825</v>
      </c>
      <c r="B481" s="8" t="s">
        <v>826</v>
      </c>
      <c r="D481" s="8" t="s">
        <v>54</v>
      </c>
    </row>
    <row r="482" spans="1:4" x14ac:dyDescent="0.25">
      <c r="A482" s="8" t="s">
        <v>827</v>
      </c>
      <c r="B482" s="8" t="s">
        <v>828</v>
      </c>
      <c r="D482" s="8" t="s">
        <v>54</v>
      </c>
    </row>
    <row r="483" spans="1:4" x14ac:dyDescent="0.25">
      <c r="A483" s="8" t="s">
        <v>829</v>
      </c>
      <c r="B483" s="8" t="s">
        <v>830</v>
      </c>
      <c r="D483" s="8" t="s">
        <v>54</v>
      </c>
    </row>
    <row r="484" spans="1:4" x14ac:dyDescent="0.25">
      <c r="A484" s="8" t="s">
        <v>831</v>
      </c>
      <c r="B484" s="8" t="s">
        <v>832</v>
      </c>
      <c r="D484" s="8" t="s">
        <v>54</v>
      </c>
    </row>
    <row r="485" spans="1:4" x14ac:dyDescent="0.25">
      <c r="A485" s="8" t="s">
        <v>833</v>
      </c>
      <c r="B485" s="8" t="s">
        <v>32</v>
      </c>
      <c r="C485" s="8" t="s">
        <v>834</v>
      </c>
      <c r="D485" s="8" t="s">
        <v>54</v>
      </c>
    </row>
    <row r="486" spans="1:4" x14ac:dyDescent="0.25">
      <c r="A486" s="8" t="s">
        <v>835</v>
      </c>
      <c r="B486" s="8" t="s">
        <v>836</v>
      </c>
      <c r="D486" s="8" t="s">
        <v>54</v>
      </c>
    </row>
    <row r="487" spans="1:4" x14ac:dyDescent="0.25">
      <c r="A487" s="8" t="s">
        <v>837</v>
      </c>
      <c r="B487" s="8" t="s">
        <v>838</v>
      </c>
      <c r="D487" s="8" t="s">
        <v>54</v>
      </c>
    </row>
    <row r="488" spans="1:4" x14ac:dyDescent="0.25">
      <c r="A488" s="8" t="s">
        <v>839</v>
      </c>
      <c r="B488" s="8" t="s">
        <v>33</v>
      </c>
      <c r="C488" s="8" t="s">
        <v>840</v>
      </c>
      <c r="D488" s="8" t="s">
        <v>54</v>
      </c>
    </row>
    <row r="489" spans="1:4" x14ac:dyDescent="0.25">
      <c r="A489" s="8" t="s">
        <v>841</v>
      </c>
      <c r="B489" s="8" t="s">
        <v>842</v>
      </c>
      <c r="D489" s="8" t="s">
        <v>54</v>
      </c>
    </row>
    <row r="490" spans="1:4" x14ac:dyDescent="0.25">
      <c r="A490" s="8" t="s">
        <v>843</v>
      </c>
      <c r="B490" s="8" t="s">
        <v>844</v>
      </c>
      <c r="D490" s="8" t="s">
        <v>54</v>
      </c>
    </row>
    <row r="491" spans="1:4" x14ac:dyDescent="0.25">
      <c r="A491" s="8" t="s">
        <v>845</v>
      </c>
      <c r="B491" s="8" t="s">
        <v>846</v>
      </c>
      <c r="D491" s="8" t="s">
        <v>54</v>
      </c>
    </row>
    <row r="492" spans="1:4" x14ac:dyDescent="0.25">
      <c r="A492" s="8" t="s">
        <v>847</v>
      </c>
      <c r="B492" s="8" t="s">
        <v>848</v>
      </c>
      <c r="D492" s="8" t="s">
        <v>54</v>
      </c>
    </row>
    <row r="493" spans="1:4" x14ac:dyDescent="0.25">
      <c r="A493" s="8" t="s">
        <v>849</v>
      </c>
      <c r="B493" s="8" t="s">
        <v>850</v>
      </c>
      <c r="D493" s="8" t="s">
        <v>54</v>
      </c>
    </row>
    <row r="494" spans="1:4" x14ac:dyDescent="0.25">
      <c r="A494" s="8" t="s">
        <v>851</v>
      </c>
      <c r="B494" s="8" t="s">
        <v>852</v>
      </c>
      <c r="D494" s="8" t="s">
        <v>54</v>
      </c>
    </row>
    <row r="495" spans="1:4" x14ac:dyDescent="0.25">
      <c r="A495" s="8" t="s">
        <v>853</v>
      </c>
      <c r="B495" s="8" t="s">
        <v>854</v>
      </c>
      <c r="D495" s="8" t="s">
        <v>54</v>
      </c>
    </row>
    <row r="496" spans="1:4" ht="45" x14ac:dyDescent="0.25">
      <c r="A496" s="8" t="s">
        <v>855</v>
      </c>
      <c r="B496" s="8" t="s">
        <v>34</v>
      </c>
      <c r="C496" s="8" t="s">
        <v>856</v>
      </c>
      <c r="D496" s="8" t="s">
        <v>54</v>
      </c>
    </row>
    <row r="497" spans="1:4" x14ac:dyDescent="0.25">
      <c r="A497" s="8" t="s">
        <v>857</v>
      </c>
      <c r="B497" s="8" t="s">
        <v>858</v>
      </c>
      <c r="D497" s="8" t="s">
        <v>54</v>
      </c>
    </row>
    <row r="498" spans="1:4" x14ac:dyDescent="0.25">
      <c r="A498" s="8" t="s">
        <v>859</v>
      </c>
      <c r="B498" s="8" t="s">
        <v>860</v>
      </c>
      <c r="D498" s="8" t="s">
        <v>54</v>
      </c>
    </row>
    <row r="499" spans="1:4" x14ac:dyDescent="0.25">
      <c r="A499" s="8" t="s">
        <v>861</v>
      </c>
      <c r="B499" s="8" t="s">
        <v>862</v>
      </c>
      <c r="D499" s="8" t="s">
        <v>54</v>
      </c>
    </row>
    <row r="500" spans="1:4" x14ac:dyDescent="0.25">
      <c r="A500" s="8" t="s">
        <v>863</v>
      </c>
      <c r="B500" s="8" t="s">
        <v>864</v>
      </c>
      <c r="D500" s="8" t="s">
        <v>54</v>
      </c>
    </row>
    <row r="501" spans="1:4" x14ac:dyDescent="0.25">
      <c r="A501" s="8" t="s">
        <v>865</v>
      </c>
      <c r="B501" s="8" t="s">
        <v>866</v>
      </c>
      <c r="D501" s="8" t="s">
        <v>54</v>
      </c>
    </row>
    <row r="502" spans="1:4" x14ac:dyDescent="0.25">
      <c r="A502" s="8" t="s">
        <v>867</v>
      </c>
      <c r="B502" s="8" t="s">
        <v>868</v>
      </c>
      <c r="D502" s="8" t="s">
        <v>54</v>
      </c>
    </row>
    <row r="503" spans="1:4" x14ac:dyDescent="0.25">
      <c r="A503" s="8" t="s">
        <v>869</v>
      </c>
      <c r="B503" s="8" t="s">
        <v>870</v>
      </c>
      <c r="D503" s="8" t="s">
        <v>54</v>
      </c>
    </row>
    <row r="504" spans="1:4" x14ac:dyDescent="0.25">
      <c r="A504" s="8" t="s">
        <v>871</v>
      </c>
      <c r="B504" s="8" t="s">
        <v>872</v>
      </c>
      <c r="D504" s="8" t="s">
        <v>54</v>
      </c>
    </row>
    <row r="505" spans="1:4" x14ac:dyDescent="0.25">
      <c r="A505" s="8" t="s">
        <v>873</v>
      </c>
      <c r="B505" s="8" t="s">
        <v>874</v>
      </c>
      <c r="D505" s="8" t="s">
        <v>54</v>
      </c>
    </row>
    <row r="506" spans="1:4" x14ac:dyDescent="0.25">
      <c r="A506" s="8" t="s">
        <v>875</v>
      </c>
      <c r="B506" s="8" t="s">
        <v>876</v>
      </c>
      <c r="D506" s="8" t="s">
        <v>54</v>
      </c>
    </row>
    <row r="507" spans="1:4" ht="45" x14ac:dyDescent="0.25">
      <c r="A507" s="8" t="s">
        <v>877</v>
      </c>
      <c r="B507" s="8" t="s">
        <v>35</v>
      </c>
      <c r="C507" s="8" t="s">
        <v>878</v>
      </c>
      <c r="D507" s="8" t="s">
        <v>54</v>
      </c>
    </row>
    <row r="508" spans="1:4" x14ac:dyDescent="0.25">
      <c r="A508" s="8" t="s">
        <v>879</v>
      </c>
      <c r="B508" s="8" t="s">
        <v>880</v>
      </c>
      <c r="D508" s="8" t="s">
        <v>54</v>
      </c>
    </row>
    <row r="509" spans="1:4" ht="30" x14ac:dyDescent="0.25">
      <c r="A509" s="8" t="s">
        <v>881</v>
      </c>
      <c r="B509" s="8" t="s">
        <v>882</v>
      </c>
      <c r="D509" s="8" t="s">
        <v>54</v>
      </c>
    </row>
    <row r="510" spans="1:4" x14ac:dyDescent="0.25">
      <c r="A510" s="8" t="s">
        <v>883</v>
      </c>
      <c r="B510" s="8" t="s">
        <v>884</v>
      </c>
      <c r="D510" s="8" t="s">
        <v>54</v>
      </c>
    </row>
    <row r="511" spans="1:4" ht="30" x14ac:dyDescent="0.25">
      <c r="A511" s="8" t="s">
        <v>885</v>
      </c>
      <c r="B511" s="8" t="s">
        <v>886</v>
      </c>
      <c r="D511" s="8" t="s">
        <v>54</v>
      </c>
    </row>
    <row r="512" spans="1:4" x14ac:dyDescent="0.25">
      <c r="A512" s="8" t="s">
        <v>366</v>
      </c>
      <c r="B512" s="8" t="s">
        <v>36</v>
      </c>
      <c r="D512" s="8" t="s">
        <v>54</v>
      </c>
    </row>
    <row r="513" spans="1:4" x14ac:dyDescent="0.25">
      <c r="A513" s="8" t="s">
        <v>887</v>
      </c>
      <c r="B513" s="8" t="s">
        <v>37</v>
      </c>
      <c r="C513" s="8" t="s">
        <v>888</v>
      </c>
      <c r="D513" s="8" t="s">
        <v>54</v>
      </c>
    </row>
    <row r="514" spans="1:4" x14ac:dyDescent="0.25">
      <c r="A514" s="8" t="s">
        <v>527</v>
      </c>
      <c r="B514" s="8" t="s">
        <v>528</v>
      </c>
      <c r="D514" s="8" t="s">
        <v>54</v>
      </c>
    </row>
    <row r="515" spans="1:4" x14ac:dyDescent="0.25">
      <c r="A515" s="8" t="s">
        <v>529</v>
      </c>
      <c r="B515" s="8" t="s">
        <v>530</v>
      </c>
      <c r="D515" s="8" t="s">
        <v>54</v>
      </c>
    </row>
    <row r="516" spans="1:4" x14ac:dyDescent="0.25">
      <c r="A516" s="8" t="s">
        <v>533</v>
      </c>
      <c r="B516" s="8" t="s">
        <v>534</v>
      </c>
      <c r="D516" s="8" t="s">
        <v>54</v>
      </c>
    </row>
    <row r="517" spans="1:4" x14ac:dyDescent="0.25">
      <c r="A517" s="8" t="s">
        <v>539</v>
      </c>
      <c r="B517" s="8" t="s">
        <v>540</v>
      </c>
      <c r="D517" s="8" t="s">
        <v>54</v>
      </c>
    </row>
    <row r="518" spans="1:4" x14ac:dyDescent="0.25">
      <c r="A518" s="8" t="s">
        <v>889</v>
      </c>
      <c r="B518" s="8" t="s">
        <v>38</v>
      </c>
      <c r="C518" s="8" t="s">
        <v>890</v>
      </c>
      <c r="D518" s="8" t="s">
        <v>54</v>
      </c>
    </row>
    <row r="519" spans="1:4" x14ac:dyDescent="0.25">
      <c r="A519" s="8" t="s">
        <v>891</v>
      </c>
      <c r="B519" s="8" t="s">
        <v>892</v>
      </c>
      <c r="D519" s="8" t="s">
        <v>54</v>
      </c>
    </row>
    <row r="520" spans="1:4" x14ac:dyDescent="0.25">
      <c r="A520" s="8" t="s">
        <v>893</v>
      </c>
      <c r="B520" s="8" t="s">
        <v>894</v>
      </c>
      <c r="D520" s="8" t="s">
        <v>54</v>
      </c>
    </row>
    <row r="521" spans="1:4" ht="30" x14ac:dyDescent="0.25">
      <c r="A521" s="8" t="s">
        <v>895</v>
      </c>
      <c r="B521" s="8" t="s">
        <v>39</v>
      </c>
      <c r="C521" s="8" t="s">
        <v>896</v>
      </c>
      <c r="D521" s="8" t="s">
        <v>54</v>
      </c>
    </row>
    <row r="522" spans="1:4" x14ac:dyDescent="0.25">
      <c r="A522" s="8" t="s">
        <v>517</v>
      </c>
      <c r="B522" s="8" t="s">
        <v>518</v>
      </c>
      <c r="D522" s="8" t="s">
        <v>54</v>
      </c>
    </row>
    <row r="523" spans="1:4" x14ac:dyDescent="0.25">
      <c r="A523" s="8" t="s">
        <v>346</v>
      </c>
      <c r="B523" s="8" t="s">
        <v>347</v>
      </c>
      <c r="D523" s="8" t="s">
        <v>54</v>
      </c>
    </row>
    <row r="524" spans="1:4" x14ac:dyDescent="0.25">
      <c r="A524" s="8" t="s">
        <v>519</v>
      </c>
      <c r="B524" s="8" t="s">
        <v>520</v>
      </c>
      <c r="D524" s="8" t="s">
        <v>54</v>
      </c>
    </row>
    <row r="525" spans="1:4" x14ac:dyDescent="0.25">
      <c r="A525" s="8" t="s">
        <v>352</v>
      </c>
      <c r="B525" s="8" t="s">
        <v>353</v>
      </c>
      <c r="D525" s="8" t="s">
        <v>54</v>
      </c>
    </row>
    <row r="526" spans="1:4" x14ac:dyDescent="0.25">
      <c r="A526" s="8" t="s">
        <v>354</v>
      </c>
      <c r="B526" s="8" t="s">
        <v>355</v>
      </c>
      <c r="D526" s="8" t="s">
        <v>54</v>
      </c>
    </row>
    <row r="527" spans="1:4" x14ac:dyDescent="0.25">
      <c r="A527" s="8" t="s">
        <v>233</v>
      </c>
      <c r="B527" s="8" t="s">
        <v>234</v>
      </c>
      <c r="D527" s="8" t="s">
        <v>54</v>
      </c>
    </row>
    <row r="528" spans="1:4" x14ac:dyDescent="0.25">
      <c r="A528" s="8" t="s">
        <v>531</v>
      </c>
      <c r="B528" s="8" t="s">
        <v>532</v>
      </c>
      <c r="D528" s="8" t="s">
        <v>54</v>
      </c>
    </row>
    <row r="529" spans="1:4" x14ac:dyDescent="0.25">
      <c r="A529" s="8" t="s">
        <v>535</v>
      </c>
      <c r="B529" s="8" t="s">
        <v>536</v>
      </c>
      <c r="D529" s="8" t="s">
        <v>54</v>
      </c>
    </row>
    <row r="530" spans="1:4" x14ac:dyDescent="0.25">
      <c r="A530" s="8" t="s">
        <v>537</v>
      </c>
      <c r="B530" s="8" t="s">
        <v>538</v>
      </c>
      <c r="D530" s="8" t="s">
        <v>54</v>
      </c>
    </row>
    <row r="531" spans="1:4" x14ac:dyDescent="0.25">
      <c r="A531" s="8" t="s">
        <v>521</v>
      </c>
      <c r="B531" s="8" t="s">
        <v>522</v>
      </c>
      <c r="D531" s="8" t="s">
        <v>54</v>
      </c>
    </row>
    <row r="532" spans="1:4" x14ac:dyDescent="0.25">
      <c r="A532" s="8" t="s">
        <v>523</v>
      </c>
      <c r="B532" s="8" t="s">
        <v>524</v>
      </c>
      <c r="D532" s="8" t="s">
        <v>54</v>
      </c>
    </row>
    <row r="533" spans="1:4" x14ac:dyDescent="0.25">
      <c r="A533" s="8" t="s">
        <v>356</v>
      </c>
      <c r="B533" s="8" t="s">
        <v>357</v>
      </c>
      <c r="D533" s="8" t="s">
        <v>54</v>
      </c>
    </row>
    <row r="534" spans="1:4" x14ac:dyDescent="0.25">
      <c r="A534" s="8" t="s">
        <v>897</v>
      </c>
      <c r="B534" s="8" t="s">
        <v>40</v>
      </c>
      <c r="D534" s="8" t="s">
        <v>54</v>
      </c>
    </row>
    <row r="535" spans="1:4" x14ac:dyDescent="0.25">
      <c r="A535" s="8" t="s">
        <v>898</v>
      </c>
      <c r="B535" s="8" t="s">
        <v>41</v>
      </c>
      <c r="C535" s="8" t="s">
        <v>899</v>
      </c>
      <c r="D535" s="8" t="s">
        <v>54</v>
      </c>
    </row>
    <row r="536" spans="1:4" x14ac:dyDescent="0.25">
      <c r="A536" s="8" t="s">
        <v>900</v>
      </c>
      <c r="B536" s="8" t="s">
        <v>901</v>
      </c>
      <c r="D536" s="8" t="s">
        <v>54</v>
      </c>
    </row>
    <row r="537" spans="1:4" x14ac:dyDescent="0.25">
      <c r="A537" s="8" t="s">
        <v>902</v>
      </c>
      <c r="B537" s="8" t="s">
        <v>903</v>
      </c>
      <c r="D537" s="8" t="s">
        <v>54</v>
      </c>
    </row>
    <row r="538" spans="1:4" x14ac:dyDescent="0.25">
      <c r="A538" s="8" t="s">
        <v>904</v>
      </c>
      <c r="B538" s="8" t="s">
        <v>905</v>
      </c>
      <c r="D538" s="8" t="s">
        <v>54</v>
      </c>
    </row>
    <row r="539" spans="1:4" x14ac:dyDescent="0.25">
      <c r="A539" s="8" t="s">
        <v>906</v>
      </c>
      <c r="B539" s="8" t="s">
        <v>42</v>
      </c>
      <c r="C539" s="8" t="s">
        <v>907</v>
      </c>
      <c r="D539" s="8" t="s">
        <v>54</v>
      </c>
    </row>
    <row r="540" spans="1:4" x14ac:dyDescent="0.25">
      <c r="A540" s="8" t="s">
        <v>908</v>
      </c>
      <c r="B540" s="8" t="s">
        <v>909</v>
      </c>
      <c r="D540" s="8" t="s">
        <v>54</v>
      </c>
    </row>
    <row r="541" spans="1:4" x14ac:dyDescent="0.25">
      <c r="A541" s="8" t="s">
        <v>910</v>
      </c>
      <c r="B541" s="8" t="s">
        <v>911</v>
      </c>
      <c r="D541" s="8" t="s">
        <v>54</v>
      </c>
    </row>
    <row r="542" spans="1:4" x14ac:dyDescent="0.25">
      <c r="A542" s="8" t="s">
        <v>912</v>
      </c>
      <c r="B542" s="8" t="s">
        <v>913</v>
      </c>
      <c r="D542" s="8" t="s">
        <v>54</v>
      </c>
    </row>
    <row r="543" spans="1:4" x14ac:dyDescent="0.25">
      <c r="A543" s="8" t="s">
        <v>914</v>
      </c>
      <c r="B543" s="8" t="s">
        <v>915</v>
      </c>
      <c r="D543" s="8" t="s">
        <v>54</v>
      </c>
    </row>
    <row r="544" spans="1:4" x14ac:dyDescent="0.25">
      <c r="A544" s="8" t="s">
        <v>916</v>
      </c>
      <c r="B544" s="8" t="s">
        <v>917</v>
      </c>
      <c r="D544" s="8" t="s">
        <v>54</v>
      </c>
    </row>
    <row r="545" spans="1:4" x14ac:dyDescent="0.25">
      <c r="A545" s="8" t="s">
        <v>918</v>
      </c>
      <c r="B545" s="8" t="s">
        <v>919</v>
      </c>
      <c r="D545" s="8" t="s">
        <v>54</v>
      </c>
    </row>
    <row r="546" spans="1:4" x14ac:dyDescent="0.25">
      <c r="A546" s="8" t="s">
        <v>920</v>
      </c>
      <c r="B546" s="8" t="s">
        <v>43</v>
      </c>
      <c r="C546" s="8" t="s">
        <v>921</v>
      </c>
      <c r="D546" s="8" t="s">
        <v>54</v>
      </c>
    </row>
    <row r="547" spans="1:4" x14ac:dyDescent="0.25">
      <c r="A547" s="8" t="s">
        <v>55</v>
      </c>
      <c r="B547" s="8" t="s">
        <v>56</v>
      </c>
      <c r="D547" s="8" t="s">
        <v>54</v>
      </c>
    </row>
    <row r="548" spans="1:4" x14ac:dyDescent="0.25">
      <c r="A548" s="8" t="s">
        <v>922</v>
      </c>
      <c r="B548" s="8" t="s">
        <v>44</v>
      </c>
      <c r="C548" s="8" t="s">
        <v>923</v>
      </c>
      <c r="D548" s="8" t="s">
        <v>54</v>
      </c>
    </row>
    <row r="549" spans="1:4" x14ac:dyDescent="0.25">
      <c r="A549" s="8" t="s">
        <v>924</v>
      </c>
      <c r="B549" s="8" t="s">
        <v>925</v>
      </c>
      <c r="D549" s="8" t="s">
        <v>54</v>
      </c>
    </row>
    <row r="550" spans="1:4" x14ac:dyDescent="0.25">
      <c r="A550" s="8" t="s">
        <v>926</v>
      </c>
      <c r="B550" s="8" t="s">
        <v>927</v>
      </c>
      <c r="D550" s="8" t="s">
        <v>54</v>
      </c>
    </row>
    <row r="551" spans="1:4" x14ac:dyDescent="0.25">
      <c r="A551" s="8" t="s">
        <v>928</v>
      </c>
      <c r="B551" s="8" t="s">
        <v>45</v>
      </c>
      <c r="C551" s="8" t="s">
        <v>929</v>
      </c>
      <c r="D551" s="8" t="s">
        <v>54</v>
      </c>
    </row>
    <row r="552" spans="1:4" x14ac:dyDescent="0.25">
      <c r="A552" s="8" t="s">
        <v>930</v>
      </c>
      <c r="B552" s="8" t="s">
        <v>931</v>
      </c>
      <c r="D552" s="8" t="s">
        <v>54</v>
      </c>
    </row>
    <row r="553" spans="1:4" x14ac:dyDescent="0.25">
      <c r="A553" s="8" t="s">
        <v>932</v>
      </c>
      <c r="B553" s="8" t="s">
        <v>933</v>
      </c>
      <c r="D553" s="8" t="s">
        <v>54</v>
      </c>
    </row>
    <row r="554" spans="1:4" x14ac:dyDescent="0.25">
      <c r="A554" s="8" t="s">
        <v>934</v>
      </c>
      <c r="B554" s="8" t="s">
        <v>935</v>
      </c>
      <c r="D554" s="8" t="s">
        <v>54</v>
      </c>
    </row>
    <row r="555" spans="1:4" x14ac:dyDescent="0.25">
      <c r="A555" s="8" t="s">
        <v>936</v>
      </c>
      <c r="B555" s="8" t="s">
        <v>937</v>
      </c>
      <c r="D555" s="8" t="s">
        <v>54</v>
      </c>
    </row>
    <row r="556" spans="1:4" x14ac:dyDescent="0.25">
      <c r="A556" s="8" t="s">
        <v>938</v>
      </c>
      <c r="B556" s="8" t="s">
        <v>46</v>
      </c>
      <c r="C556" s="8" t="s">
        <v>939</v>
      </c>
      <c r="D556" s="8" t="s">
        <v>54</v>
      </c>
    </row>
    <row r="557" spans="1:4" x14ac:dyDescent="0.25">
      <c r="A557" s="8" t="s">
        <v>940</v>
      </c>
      <c r="B557" s="8" t="s">
        <v>941</v>
      </c>
      <c r="D557" s="8" t="s">
        <v>54</v>
      </c>
    </row>
    <row r="558" spans="1:4" x14ac:dyDescent="0.25">
      <c r="A558" s="8" t="s">
        <v>942</v>
      </c>
      <c r="B558" s="8" t="s">
        <v>943</v>
      </c>
      <c r="D558" s="8" t="s">
        <v>54</v>
      </c>
    </row>
    <row r="559" spans="1:4" x14ac:dyDescent="0.25">
      <c r="A559" s="8" t="s">
        <v>944</v>
      </c>
      <c r="B559" s="8" t="s">
        <v>945</v>
      </c>
      <c r="D559" s="8" t="s">
        <v>54</v>
      </c>
    </row>
    <row r="560" spans="1:4" x14ac:dyDescent="0.25">
      <c r="A560" s="8" t="s">
        <v>946</v>
      </c>
      <c r="B560" s="8" t="s">
        <v>947</v>
      </c>
      <c r="D560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Ngamo Guipdop Chabain Migouel</cp:lastModifiedBy>
  <dcterms:created xsi:type="dcterms:W3CDTF">2025-12-04T08:12:14Z</dcterms:created>
  <dcterms:modified xsi:type="dcterms:W3CDTF">2025-12-19T09:40:19Z</dcterms:modified>
</cp:coreProperties>
</file>